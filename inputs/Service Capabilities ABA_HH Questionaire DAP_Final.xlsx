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codeName="ThisWorkbook" defaultThemeVersion="166925"/>
  <mc:AlternateContent xmlns:mc="http://schemas.openxmlformats.org/markup-compatibility/2006">
    <mc:Choice Requires="x15">
      <x15ac:absPath xmlns:x15ac="http://schemas.microsoft.com/office/spreadsheetml/2010/11/ac" url="https://acted-my.sharepoint.com/personal/carlos_taponjou_impact-initiatives_org/Documents/Documents/ETHIOPIAN-MISSION/GitHub/eth_reach_aba_tigray_somali/inputs/"/>
    </mc:Choice>
  </mc:AlternateContent>
  <xr:revisionPtr revIDLastSave="185" documentId="13_ncr:1_{74C72F71-C238-4B24-8A28-355F61B3AC35}" xr6:coauthVersionLast="47" xr6:coauthVersionMax="47" xr10:uidLastSave="{CB7B1C0D-555B-4ACE-AB28-99C54E0890FD}"/>
  <bookViews>
    <workbookView xWindow="-110" yWindow="-110" windowWidth="19420" windowHeight="10420" tabRatio="617" firstSheet="4" activeTab="4" xr2:uid="{AE826E72-2E1C-442C-B348-A09431AD6D63}"/>
  </bookViews>
  <sheets>
    <sheet name="04 - Needs and Demand" sheetId="31" state="hidden" r:id="rId1"/>
    <sheet name="03 - Supply and Offer" sheetId="30" state="hidden" r:id="rId2"/>
    <sheet name="01 - Contextual and Inst." sheetId="1" state="hidden" r:id="rId3"/>
    <sheet name="JIPS DS IL" sheetId="23" state="hidden" r:id="rId4"/>
    <sheet name="Service capabilities ABA HH DAP" sheetId="32" r:id="rId5"/>
  </sheets>
  <externalReferences>
    <externalReference r:id="rId6"/>
  </externalReferences>
  <definedNames>
    <definedName name="_xlnm._FilterDatabase" localSheetId="2" hidden="1">'01 - Contextual and Inst.'!$A$1:$M$134</definedName>
    <definedName name="_xlnm._FilterDatabase" localSheetId="1" hidden="1">'03 - Supply and Offer'!$A$1:$M$325</definedName>
    <definedName name="_xlnm._FilterDatabase" localSheetId="0" hidden="1">'04 - Needs and Demand'!$A$1:$M$265</definedName>
    <definedName name="_xlnm._FilterDatabase" localSheetId="3" hidden="1">'JIPS DS IL'!$A$1:$G$151</definedName>
    <definedName name="_xlnm._FilterDatabase" localSheetId="4" hidden="1">'Service capabilities ABA HH DAP'!$A$1:$J$196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32" l="1"/>
  <c r="F3" i="32" s="1"/>
  <c r="K34" i="32" l="1"/>
  <c r="F34" i="32" s="1"/>
  <c r="K178" i="32"/>
  <c r="F178" i="32" s="1"/>
  <c r="K37" i="32"/>
  <c r="F37" i="32" s="1"/>
  <c r="K140" i="32"/>
  <c r="F140" i="32" s="1"/>
  <c r="K168" i="32"/>
  <c r="F168" i="32" s="1"/>
  <c r="K182" i="32"/>
  <c r="F182" i="32" s="1"/>
  <c r="K123" i="32"/>
  <c r="F123" i="32" s="1"/>
  <c r="K40" i="32"/>
  <c r="F40" i="32" s="1"/>
  <c r="K28" i="32"/>
  <c r="F28" i="32" s="1"/>
  <c r="K9" i="32"/>
  <c r="F9" i="32" s="1"/>
  <c r="K24" i="32"/>
  <c r="K163" i="32"/>
  <c r="F163" i="32" s="1"/>
  <c r="K49" i="32"/>
  <c r="F49" i="32" s="1"/>
  <c r="K15" i="32"/>
  <c r="F15" i="32" s="1"/>
  <c r="K194" i="32"/>
  <c r="K57" i="32"/>
  <c r="F57" i="32" s="1"/>
  <c r="K70" i="32"/>
  <c r="F70" i="32" s="1"/>
  <c r="K153" i="32"/>
  <c r="F153" i="32" s="1"/>
  <c r="K166" i="32"/>
  <c r="F166" i="32" s="1"/>
  <c r="K146" i="32"/>
  <c r="F146" i="32" s="1"/>
  <c r="K63" i="32"/>
  <c r="F63" i="32" s="1"/>
  <c r="K33" i="32"/>
  <c r="F33" i="32" s="1"/>
  <c r="K128" i="32"/>
  <c r="F128" i="32" s="1"/>
  <c r="K6" i="32"/>
  <c r="F6" i="32" s="1"/>
  <c r="K39" i="32"/>
  <c r="F39" i="32" s="1"/>
  <c r="K17" i="32"/>
  <c r="F17" i="32" s="1"/>
  <c r="K12" i="32"/>
  <c r="F12" i="32" s="1"/>
  <c r="K143" i="32"/>
  <c r="F143" i="32" s="1"/>
  <c r="K130" i="32"/>
  <c r="F130" i="32" s="1"/>
  <c r="K170" i="32"/>
  <c r="K186" i="32"/>
  <c r="K60" i="32"/>
  <c r="F60" i="32" s="1"/>
  <c r="K129" i="32"/>
  <c r="F129" i="32" s="1"/>
  <c r="K122" i="32"/>
  <c r="F122" i="32" s="1"/>
  <c r="K72" i="32"/>
  <c r="F72" i="32" s="1"/>
  <c r="K161" i="32"/>
  <c r="F161" i="32" s="1"/>
  <c r="K188" i="32"/>
  <c r="F188" i="32" s="1"/>
  <c r="K136" i="32"/>
  <c r="F136" i="32" s="1"/>
  <c r="K141" i="32"/>
  <c r="F141" i="32" s="1"/>
  <c r="K181" i="32"/>
  <c r="F181" i="32" s="1"/>
  <c r="K154" i="32"/>
  <c r="F154" i="32" s="1"/>
  <c r="K195" i="32"/>
  <c r="F195" i="32" s="1"/>
  <c r="K187" i="32"/>
  <c r="K29" i="32"/>
  <c r="K158" i="32"/>
  <c r="F158" i="32" s="1"/>
  <c r="K127" i="32"/>
  <c r="F127" i="32" s="1"/>
  <c r="K131" i="32"/>
  <c r="F131" i="32" s="1"/>
  <c r="K4" i="32"/>
  <c r="F4" i="32" s="1"/>
  <c r="K190" i="32"/>
  <c r="F190" i="32" s="1"/>
  <c r="K7" i="32"/>
  <c r="F7" i="32" s="1"/>
  <c r="K124" i="32"/>
  <c r="F124" i="32" s="1"/>
  <c r="K71" i="32"/>
  <c r="F71" i="32" s="1"/>
  <c r="K25" i="32"/>
  <c r="F25" i="32" s="1"/>
  <c r="K189" i="32"/>
  <c r="K22" i="32"/>
  <c r="F22" i="32" s="1"/>
  <c r="K185" i="32"/>
  <c r="F185" i="32" s="1"/>
  <c r="K47" i="32"/>
  <c r="F47" i="32" s="1"/>
  <c r="K30" i="32"/>
  <c r="F30" i="32" s="1"/>
  <c r="K59" i="32"/>
  <c r="F59" i="32" s="1"/>
  <c r="K142" i="32"/>
  <c r="F142" i="32" s="1"/>
  <c r="K35" i="32"/>
  <c r="F35" i="32" s="1"/>
  <c r="K75" i="32"/>
  <c r="F75" i="32" s="1"/>
  <c r="K43" i="32"/>
  <c r="F43" i="32" s="1"/>
  <c r="K69" i="32"/>
  <c r="F69" i="32" s="1"/>
  <c r="K156" i="32"/>
  <c r="F156" i="32" s="1"/>
  <c r="K165" i="32"/>
  <c r="K54" i="32"/>
  <c r="F54" i="32" s="1"/>
  <c r="K31" i="32"/>
  <c r="F31" i="32" s="1"/>
  <c r="K55" i="32"/>
  <c r="F55" i="32" s="1"/>
  <c r="K148" i="32"/>
  <c r="F148" i="32" s="1"/>
  <c r="K120" i="32"/>
  <c r="F120" i="32" s="1"/>
  <c r="K132" i="32"/>
  <c r="F132" i="32" s="1"/>
  <c r="K53" i="32"/>
  <c r="F53" i="32" s="1"/>
  <c r="K147" i="32"/>
  <c r="F147" i="32" s="1"/>
  <c r="K27" i="32"/>
  <c r="F27" i="32" s="1"/>
  <c r="K150" i="32"/>
  <c r="F150" i="32" s="1"/>
  <c r="K180" i="32"/>
  <c r="F180" i="32" s="1"/>
  <c r="K45" i="32"/>
  <c r="F45" i="32" s="1"/>
  <c r="K26" i="32"/>
  <c r="F26" i="32" s="1"/>
  <c r="K169" i="32"/>
  <c r="F169" i="32" s="1"/>
  <c r="K196" i="32"/>
  <c r="K51" i="32"/>
  <c r="F51" i="32" s="1"/>
  <c r="K19" i="32"/>
  <c r="F19" i="32" s="1"/>
  <c r="K23" i="32"/>
  <c r="F23" i="32" s="1"/>
  <c r="K138" i="32"/>
  <c r="F138" i="32" s="1"/>
  <c r="K149" i="32"/>
  <c r="K191" i="32"/>
  <c r="F191" i="32" s="1"/>
  <c r="K126" i="32"/>
  <c r="F126" i="32" s="1"/>
  <c r="K2" i="32"/>
  <c r="F2" i="32" s="1"/>
  <c r="K38" i="32"/>
  <c r="F38" i="32" s="1"/>
  <c r="K14" i="32"/>
  <c r="F14" i="32" s="1"/>
  <c r="K145" i="32"/>
  <c r="K11" i="32"/>
  <c r="F11" i="32" s="1"/>
  <c r="K44" i="32"/>
  <c r="F44" i="32" s="1"/>
  <c r="K18" i="32"/>
  <c r="F18" i="32" s="1"/>
  <c r="K32" i="32"/>
  <c r="F32" i="32" s="1"/>
  <c r="K125" i="32"/>
  <c r="F125" i="32" s="1"/>
  <c r="K164" i="32"/>
  <c r="F164" i="32" s="1"/>
  <c r="K133" i="32"/>
  <c r="F133" i="32" s="1"/>
  <c r="K135" i="32"/>
  <c r="F135" i="32" s="1"/>
  <c r="K50" i="32"/>
  <c r="F50" i="32" s="1"/>
  <c r="K68" i="32"/>
  <c r="K144" i="32"/>
  <c r="F144" i="32" s="1"/>
  <c r="K67" i="32"/>
  <c r="F67" i="32" s="1"/>
  <c r="K121" i="32"/>
  <c r="K42" i="32"/>
  <c r="F42" i="32" s="1"/>
  <c r="K5" i="32"/>
  <c r="F5" i="32" s="1"/>
  <c r="K64" i="32"/>
  <c r="F64" i="32" s="1"/>
  <c r="K119" i="32"/>
  <c r="F119" i="32" s="1"/>
  <c r="K41" i="32"/>
  <c r="F41" i="32" s="1"/>
  <c r="K172" i="32"/>
  <c r="F172" i="32" s="1"/>
  <c r="K184" i="32"/>
  <c r="F184" i="32" s="1"/>
  <c r="K74" i="32"/>
  <c r="F74" i="32" s="1"/>
  <c r="K173" i="32"/>
  <c r="F173" i="32" s="1"/>
  <c r="K155" i="32"/>
  <c r="F155" i="32" s="1"/>
  <c r="K183" i="32"/>
  <c r="F183" i="32" s="1"/>
  <c r="K73" i="32"/>
  <c r="F73" i="32" s="1"/>
  <c r="K65" i="32"/>
  <c r="F65" i="32" s="1"/>
  <c r="K56" i="32"/>
  <c r="F56" i="32" s="1"/>
  <c r="K139" i="32"/>
  <c r="K157" i="32"/>
  <c r="F157" i="32" s="1"/>
  <c r="K175" i="32"/>
  <c r="F175" i="32" s="1"/>
  <c r="K137" i="32"/>
  <c r="F137" i="32" s="1"/>
  <c r="K151" i="32"/>
  <c r="F151" i="32" s="1"/>
  <c r="K21" i="32"/>
  <c r="F21" i="32" s="1"/>
  <c r="K48" i="32"/>
  <c r="F48" i="32" s="1"/>
  <c r="K46" i="32"/>
  <c r="F46" i="32" s="1"/>
  <c r="K61" i="32"/>
  <c r="F61" i="32" s="1"/>
  <c r="K174" i="32"/>
  <c r="F174" i="32" s="1"/>
  <c r="K16" i="32"/>
  <c r="F16" i="32" s="1"/>
  <c r="K52" i="32"/>
  <c r="F52" i="32" s="1"/>
  <c r="K176" i="32"/>
  <c r="F176" i="32" s="1"/>
  <c r="K160" i="32"/>
  <c r="F160" i="32" s="1"/>
  <c r="K58" i="32"/>
  <c r="F58" i="32" s="1"/>
  <c r="K167" i="32"/>
  <c r="F167" i="32" s="1"/>
  <c r="K159" i="32"/>
  <c r="F159" i="32" s="1"/>
  <c r="K179" i="32"/>
  <c r="F179" i="32" s="1"/>
  <c r="K36" i="32"/>
  <c r="K76" i="32"/>
  <c r="K62" i="32"/>
  <c r="F62" i="32" s="1"/>
  <c r="K134" i="32"/>
  <c r="F134" i="32" s="1"/>
  <c r="K171" i="32"/>
  <c r="F171" i="32" s="1"/>
  <c r="K177" i="32"/>
  <c r="F177" i="32" s="1"/>
  <c r="K13" i="32"/>
  <c r="F13" i="32" s="1"/>
  <c r="K192" i="32"/>
  <c r="F192" i="32" s="1"/>
  <c r="K162" i="32"/>
  <c r="K66" i="32"/>
  <c r="F66" i="32" s="1"/>
  <c r="K20" i="32"/>
  <c r="F20" i="32" s="1"/>
  <c r="K10" i="32"/>
  <c r="F10" i="32" s="1"/>
  <c r="K193" i="32"/>
  <c r="K8" i="32"/>
  <c r="F8" i="32" s="1"/>
  <c r="K152" i="32"/>
  <c r="F152" i="3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tc={C81305F9-5885-44E9-9BBD-C37C702B1239}</author>
    <author>tc={E638CC55-49F8-422E-9DC1-ED290EEE07A7}</author>
    <author>tc={2DDA8FCB-79BF-41A9-9CA5-99CCB4383505}</author>
    <author>tc={E383B9F6-5B59-48E0-8743-878D468DBB78}</author>
    <author>tc={6075EA9B-B9B6-49EC-ABBA-7ABDF8F56FF0}</author>
  </authors>
  <commentList>
    <comment ref="G7" authorId="0" shapeId="0" xr:uid="{C81305F9-5885-44E9-9BBD-C37C702B1239}">
      <text>
        <t>[Threaded comment]
Your version of Excel allows you to read this threaded comment; however, any edits to it will get removed if the file is opened in a newer version of Excel. Learn more: https://go.microsoft.com/fwlink/?linkid=870924
Comment:
    Not really relevant for us</t>
      </text>
    </comment>
    <comment ref="J41" authorId="1" shapeId="0" xr:uid="{E638CC55-49F8-422E-9DC1-ED290EEE07A7}">
      <text>
        <t>[Threaded comment]
Your version of Excel allows you to read this threaded comment; however, any edits to it will get removed if the file is opened in a newer version of Excel. Learn more: https://go.microsoft.com/fwlink/?linkid=870924
Comment:
    It covers also 2.1.12</t>
      </text>
    </comment>
    <comment ref="J97" authorId="2" shapeId="0" xr:uid="{2DDA8FCB-79BF-41A9-9CA5-99CCB4383505}">
      <text>
        <t>[Threaded comment]
Your version of Excel allows you to read this threaded comment; however, any edits to it will get removed if the file is opened in a newer version of Excel. Learn more: https://go.microsoft.com/fwlink/?linkid=870924
Comment:
    And 4.1.4</t>
      </text>
    </comment>
    <comment ref="J201" authorId="3" shapeId="0" xr:uid="{E383B9F6-5B59-48E0-8743-878D468DBB78}">
      <text>
        <t>[Threaded comment]
Your version of Excel allows you to read this threaded comment; however, any edits to it will get removed if the file is opened in a newer version of Excel. Learn more: https://go.microsoft.com/fwlink/?linkid=870924
Comment:
    The whole set of questions (main and follow-up) cover 2.1.4.3, 2.1.4.4 and 2.1.5)</t>
      </text>
    </comment>
    <comment ref="J232" authorId="4" shapeId="0" xr:uid="{6075EA9B-B9B6-49EC-ABBA-7ABDF8F56FF0}">
      <text>
        <t>[Threaded comment]
Your version of Excel allows you to read this threaded comment; however, any edits to it will get removed if the file is opened in a newer version of Excel. Learn more: https://go.microsoft.com/fwlink/?linkid=870924
Comment:
    It covers also 2.4.2.2</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tc={A7BFBF87-2CEC-4D29-88F7-BF9FF503A447}</author>
  </authors>
  <commentList>
    <comment ref="G173" authorId="0" shapeId="0" xr:uid="{A7BFBF87-2CEC-4D29-88F7-BF9FF503A447}">
      <text>
        <t>[Threaded comment]
Your version of Excel allows you to read this threaded comment; however, any edits to it will get removed if the file is opened in a newer version of Excel. Learn more: https://go.microsoft.com/fwlink/?linkid=870924
Comment:
    Not directly linked to service caps but informs HH income levels, so consider including</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tc={E5DE1445-76A2-4AB6-9F66-D01FF6271350}</author>
    <author>tc={94733650-F481-45BB-B3B1-FC6284343633}</author>
    <author>tc={72381688-A67B-4E7C-98DA-97DA303E4068}</author>
  </authors>
  <commentList>
    <comment ref="J6" authorId="0" shapeId="0" xr:uid="{E5DE1445-76A2-4AB6-9F66-D01FF6271350}">
      <text>
        <t>[Threaded comment]
Your version of Excel allows you to read this threaded comment; however, any edits to it will get removed if the file is opened in a newer version of Excel. Learn more: https://go.microsoft.com/fwlink/?linkid=870924
Comment:
    This ABA indicator allows to calculate A.1.1, A.1.2 and A.1.3</t>
      </text>
    </comment>
    <comment ref="J7" authorId="1" shapeId="0" xr:uid="{94733650-F481-45BB-B3B1-FC6284343633}">
      <text>
        <t>[Threaded comment]
Your version of Excel allows you to read this threaded comment; however, any edits to it will get removed if the file is opened in a newer version of Excel. Learn more: https://go.microsoft.com/fwlink/?linkid=870924
Comment:
    This ABA indicator allows to calculate A.1.1, A.1.2 and A.1.3</t>
      </text>
    </comment>
    <comment ref="J43" authorId="2" shapeId="0" xr:uid="{72381688-A67B-4E7C-98DA-97DA303E4068}">
      <text>
        <t>[Threaded comment]
Your version of Excel allows you to read this threaded comment; however, any edits to it will get removed if the file is opened in a newer version of Excel. Learn more: https://go.microsoft.com/fwlink/?linkid=870924
Comment:
    Follow up questions might be necessary to include A.3.1.2, A.3.1.3 and A.3.1.4</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tc={7A15E06A-4973-49F2-ADD6-97C3301946C3}</author>
    <author>tc={279DF6C9-55FC-4910-A0C7-76985F381D19}</author>
    <author>tc={18FA527F-06A2-4FD2-9CD6-321325CD31FB}</author>
    <author>tc={3C9AFD1E-D59F-453A-960D-A4557630D9FE}</author>
    <author>tc={C92E1E16-3467-4535-9F63-B22AF5E5B054}</author>
    <author>tc={4EE3A3A7-E9BE-4CAD-A928-20E7822F5C9F}</author>
    <author>tc={0ECF221A-596B-442E-8D46-528E94EB6E76}</author>
    <author>tc={7FDD8C53-14A6-42A8-8B8F-F30E66F948DD}</author>
    <author>tc={BAB94EA7-3807-453C-9318-7F962F325AA6}</author>
    <author>tc={B49843A7-D025-4592-A5D4-75F009393767}</author>
    <author>tc={4DC3FD45-7E6A-4C8A-84D7-05E56B4EC2C0}</author>
    <author>tc={E0613CBB-FDB9-4713-AC21-7B71E514E2FE}</author>
    <author>tc={D6EA11C1-2692-4E92-A9B0-AC1CCA4C3F40}</author>
    <author>tc={E42B3FBD-39A4-486D-8E87-D3F987DC5ED7}</author>
    <author>tc={37A87F4A-A14A-42BD-9ED9-D636EE1F4002}</author>
    <author>tc={0D74ED12-78F8-49B3-A4EF-5EC1A279F2EF}</author>
    <author>tc={3B3785F9-34AB-4920-9086-3F0D590A67E1}</author>
    <author>tc={E8DDC6D9-DC65-4705-A914-3EA291778123}</author>
    <author>tc={9FF297DF-873D-4139-B9FF-48D9FBB21D10}</author>
    <author>tc={A167B80E-CD8B-479C-BF0D-1C2438289612}</author>
    <author>tc={5FC0C0E7-4218-45DC-ABFA-F443C1D85224}</author>
  </authors>
  <commentList>
    <comment ref="G2" authorId="0" shapeId="0" xr:uid="{7A15E06A-4973-49F2-ADD6-97C3301946C3}">
      <text>
        <t>[Threaded comment]
Your version of Excel allows you to read this threaded comment; however, any edits to it will get removed if the file is opened in a newer version of Excel. Learn more: https://go.microsoft.com/fwlink/?linkid=870924
Comment:
    In general tool is good but long, I think some questions could be merged/dropped. Is there a rationale for the need of such information? External partners have been consulted to understand what info they really need? 
In addition it would be nice to have the indicator column, to understand what exactly you would like to measure with the listed questions. ABA IL could be a source for this + insights for merging/prioritising questions/indicators! ☺️</t>
      </text>
    </comment>
    <comment ref="J9" authorId="1" shapeId="0" xr:uid="{279DF6C9-55FC-4910-A0C7-76985F381D19}">
      <text>
        <t>[Threaded comment]
Your version of Excel allows you to read this threaded comment; however, any edits to it will get removed if the file is opened in a newer version of Excel. Learn more: https://go.microsoft.com/fwlink/?linkid=870924
Comment:
    In red are things I've added or changed (I will always leave the previous version if I changed if you would really wish to revert back)</t>
      </text>
    </comment>
    <comment ref="I20" authorId="2" shapeId="0" xr:uid="{18FA527F-06A2-4FD2-9CD6-321325CD31FB}">
      <text>
        <t>[Threaded comment]
Your version of Excel allows you to read this threaded comment; however, any edits to it will get removed if the file is opened in a newer version of Excel. Learn more: https://go.microsoft.com/fwlink/?linkid=870924
Comment:
    That's very few options. What about access to education, health, presence of humanitarian assistance etc</t>
      </text>
    </comment>
    <comment ref="I39" authorId="3" shapeId="0" xr:uid="{3C9AFD1E-D59F-453A-960D-A4557630D9FE}">
      <text>
        <t>[Threaded comment]
Your version of Excel allows you to read this threaded comment; however, any edits to it will get removed if the file is opened in a newer version of Excel. Learn more: https://go.microsoft.com/fwlink/?linkid=870924
Comment:
    Why not ask for a time range instead? I don't really understand how the enumerator will be able to get the GPS coordinates</t>
      </text>
    </comment>
    <comment ref="H40" authorId="4" shapeId="0" xr:uid="{C92E1E16-3467-4535-9F63-B22AF5E5B054}">
      <text>
        <t>[Threaded comment]
Your version of Excel allows you to read this threaded comment; however, any edits to it will get removed if the file is opened in a newer version of Excel. Learn more: https://go.microsoft.com/fwlink/?linkid=870924
Comment:
    Better select multiple with range</t>
      </text>
    </comment>
    <comment ref="I40" authorId="5" shapeId="0" xr:uid="{4EE3A3A7-E9BE-4CAD-A928-20E7822F5C9F}">
      <text>
        <t xml:space="preserve">[Threaded comment]
Your version of Excel allows you to read this threaded comment; however, any edits to it will get removed if the file is opened in a newer version of Excel. Learn more: https://go.microsoft.com/fwlink/?linkid=870924
Comment:
    Suggest to use:
Water on premises 
Less than 5 min to fetch and return 
Between 5 and 15 min to fetch and return 
Between 16 and 30 min to fetch and return
More than 31min to fetch and return 
Don’t know
</t>
      </text>
    </comment>
    <comment ref="L40" authorId="6" shapeId="0" xr:uid="{0ECF221A-596B-442E-8D46-528E94EB6E76}">
      <text>
        <t>[Threaded comment]
Your version of Excel allows you to read this threaded comment; however, any edits to it will get removed if the file is opened in a newer version of Excel. Learn more: https://go.microsoft.com/fwlink/?linkid=870924
Comment:
    Better select multiple with range</t>
      </text>
    </comment>
    <comment ref="H41" authorId="7" shapeId="0" xr:uid="{7FDD8C53-14A6-42A8-8B8F-F30E66F948DD}">
      <text>
        <t>[Threaded comment]
Your version of Excel allows you to read this threaded comment; however, any edits to it will get removed if the file is opened in a newer version of Excel. Learn more: https://go.microsoft.com/fwlink/?linkid=870924
Comment:
    Better select multiple with range</t>
      </text>
    </comment>
    <comment ref="I41" authorId="8" shapeId="0" xr:uid="{BAB94EA7-3807-453C-9318-7F962F325AA6}">
      <text>
        <t xml:space="preserve">[Threaded comment]
Your version of Excel allows you to read this threaded comment; however, any edits to it will get removed if the file is opened in a newer version of Excel. Learn more: https://go.microsoft.com/fwlink/?linkid=870924
Comment:
    Suggest to use:
Water on premises 
Less than 5 min to fetch and return 
Between 5 and 15 min to fetch and return 
Between 16 and 30 min to fetch and return
More than 31min to fetch and return 
Don’t know
</t>
      </text>
    </comment>
    <comment ref="D43" authorId="9" shapeId="0" xr:uid="{B49843A7-D025-4592-A5D4-75F009393767}">
      <text>
        <t>[Threaded comment]
Your version of Excel allows you to read this threaded comment; however, any edits to it will get removed if the file is opened in a newer version of Excel. Learn more: https://go.microsoft.com/fwlink/?linkid=870924
Comment:
    For all "water source functionality": Why this info from HHs? You should have this from phase 2 right? Or you want to understand how many HH rely on "functional"or "not functional" water points ?
Reply:
    We would like to keep this to understand HH perceptions of functionality and the and as you mention to understand if any people are using non functional sources as their primary source</t>
      </text>
    </comment>
    <comment ref="I48" authorId="10" shapeId="0" xr:uid="{4DC3FD45-7E6A-4C8A-84D7-05E56B4EC2C0}">
      <text>
        <t>[Threaded comment]
Your version of Excel allows you to read this threaded comment; however, any edits to it will get removed if the file is opened in a newer version of Excel. Learn more: https://go.microsoft.com/fwlink/?linkid=870924
Comment:
    Could also have an option about water quality, no?</t>
      </text>
    </comment>
    <comment ref="D50" authorId="11" shapeId="0" xr:uid="{E0613CBB-FDB9-4713-AC21-7B71E514E2FE}">
      <text>
        <t>[Threaded comment]
Your version of Excel allows you to read this threaded comment; however, any edits to it will get removed if the file is opened in a newer version of Excel. Learn more: https://go.microsoft.com/fwlink/?linkid=870924
Comment:
    This is availability, not accessibility</t>
      </text>
    </comment>
    <comment ref="I55" authorId="12" shapeId="0" xr:uid="{D6EA11C1-2692-4E92-A9B0-AC1CCA4C3F40}">
      <text>
        <t>[Threaded comment]
Your version of Excel allows you to read this threaded comment; however, any edits to it will get removed if the file is opened in a newer version of Excel. Learn more: https://go.microsoft.com/fwlink/?linkid=870924
Comment:
    Other option is needed here</t>
      </text>
    </comment>
    <comment ref="I56" authorId="13" shapeId="0" xr:uid="{E42B3FBD-39A4-486D-8E87-D3F987DC5ED7}">
      <text>
        <t>[Threaded comment]
Your version of Excel allows you to read this threaded comment; however, any edits to it will get removed if the file is opened in a newer version of Excel. Learn more: https://go.microsoft.com/fwlink/?linkid=870924
Comment:
    If yes, should be a separate question</t>
      </text>
    </comment>
    <comment ref="I60" authorId="14" shapeId="0" xr:uid="{37A87F4A-A14A-42BD-9ED9-D636EE1F4002}">
      <text>
        <t>[Threaded comment]
Your version of Excel allows you to read this threaded comment; however, any edits to it will get removed if the file is opened in a newer version of Excel. Learn more: https://go.microsoft.com/fwlink/?linkid=870924
Comment:
    No instance of violence or discriminations not based on gender, displacement status or disability? Like just because the area is unsafe in general</t>
      </text>
    </comment>
    <comment ref="I63" authorId="15" shapeId="0" xr:uid="{0D74ED12-78F8-49B3-A4EF-5EC1A279F2EF}">
      <text>
        <t>[Threaded comment]
Your version of Excel allows you to read this threaded comment; however, any edits to it will get removed if the file is opened in a newer version of Excel. Learn more: https://go.microsoft.com/fwlink/?linkid=870924
Comment:
    Can there be an option for Not informed? Or is there a skip logic not written there?</t>
      </text>
    </comment>
    <comment ref="G65" authorId="16" shapeId="0" xr:uid="{3B3785F9-34AB-4920-9086-3F0D590A67E1}">
      <text>
        <t>[Threaded comment]
Your version of Excel allows you to read this threaded comment; however, any edits to it will get removed if the file is opened in a newer version of Excel. Learn more: https://go.microsoft.com/fwlink/?linkid=870924
Comment:
    Why are you refering to wash? Are sanitation and hygiene included?
Reply:
    I suggest the q/i 3.212 rather than this and following, maybe using a rank from 1to3 as a tyoe of question. Of course you can keep a contextualised list of choices</t>
      </text>
    </comment>
    <comment ref="A68" authorId="17" shapeId="0" xr:uid="{E8DDC6D9-DC65-4705-A914-3EA291778123}">
      <text>
        <t>[Threaded comment]
Your version of Excel allows you to read this threaded comment; however, any edits to it will get removed if the file is opened in a newer version of Excel. Learn more: https://go.microsoft.com/fwlink/?linkid=870924
Comment:
    Similar as wash on functionality and priorities</t>
      </text>
    </comment>
    <comment ref="I140" authorId="18" shapeId="0" xr:uid="{9FF297DF-873D-4139-B9FF-48D9FBB21D10}">
      <text>
        <t>[Threaded comment]
Your version of Excel allows you to read this threaded comment; however, any edits to it will get removed if the file is opened in a newer version of Excel. Learn more: https://go.microsoft.com/fwlink/?linkid=870924
Comment:
    Same comment as for WASH, maybe they don't receive it at all</t>
      </text>
    </comment>
    <comment ref="I155" authorId="19" shapeId="0" xr:uid="{A167B80E-CD8B-479C-BF0D-1C2438289612}">
      <text>
        <t>[Threaded comment]
Your version of Excel allows you to read this threaded comment; however, any edits to it will get removed if the file is opened in a newer version of Excel. Learn more: https://go.microsoft.com/fwlink/?linkid=870924
Comment:
    None should be an option</t>
      </text>
    </comment>
    <comment ref="I163" authorId="20" shapeId="0" xr:uid="{5FC0C0E7-4218-45DC-ABFA-F443C1D85224}">
      <text>
        <t>[Threaded comment]
Your version of Excel allows you to read this threaded comment; however, any edits to it will get removed if the file is opened in a newer version of Excel. Learn more: https://go.microsoft.com/fwlink/?linkid=870924
Comment:
    No info?</t>
      </text>
    </comment>
  </commentList>
</comments>
</file>

<file path=xl/sharedStrings.xml><?xml version="1.0" encoding="utf-8"?>
<sst xmlns="http://schemas.openxmlformats.org/spreadsheetml/2006/main" count="8864" uniqueCount="3902">
  <si>
    <t>#</t>
  </si>
  <si>
    <t>Relief</t>
  </si>
  <si>
    <t>Recovery</t>
  </si>
  <si>
    <t>Sector</t>
  </si>
  <si>
    <t>Indicator Group</t>
  </si>
  <si>
    <t>Indicator</t>
  </si>
  <si>
    <t>Question</t>
  </si>
  <si>
    <t>Choices</t>
  </si>
  <si>
    <t>DC method</t>
  </si>
  <si>
    <t>JIPS DS IL ref #</t>
  </si>
  <si>
    <t>Relevant for</t>
  </si>
  <si>
    <t>Source</t>
  </si>
  <si>
    <t>NOTES</t>
  </si>
  <si>
    <t>3.1</t>
  </si>
  <si>
    <t>AAP</t>
  </si>
  <si>
    <t>Accountability</t>
  </si>
  <si>
    <t>% of KIs who have seen or received project outcome reports in the past year</t>
  </si>
  <si>
    <t>Have you seen or received any project outcome reports (presentation of achieved results, figures, …) in the past year, concerning the aid interventions carried out in this area?</t>
  </si>
  <si>
    <t>Yes, No, Don't know, Prefer not to answer</t>
  </si>
  <si>
    <t>KII</t>
  </si>
  <si>
    <t/>
  </si>
  <si>
    <t>3.2</t>
  </si>
  <si>
    <t>% of KIs aware of any audits or evaluations conducted for aid projects in the community</t>
  </si>
  <si>
    <t>Are you aware of any audits or evaluations conducted for aid projects in the community?</t>
  </si>
  <si>
    <t>Yes, No, [Other contextualized choices], Don't Know, Prefer Not to Answer</t>
  </si>
  <si>
    <t>3.3</t>
  </si>
  <si>
    <t>% of KIs who believe that aid was distributed fairly according to set criteria</t>
  </si>
  <si>
    <t>Do you believe that aid was distributed fairly according to set criteria?</t>
  </si>
  <si>
    <t>3.4.1</t>
  </si>
  <si>
    <t>Assistance received</t>
  </si>
  <si>
    <t>% of HHs having received aid in the X months prior to data collection</t>
  </si>
  <si>
    <t>Has your household received aid in the past X months?</t>
  </si>
  <si>
    <t>Yes, No, Prefer to not answer</t>
  </si>
  <si>
    <t>HH</t>
  </si>
  <si>
    <t>MSNA 2023</t>
  </si>
  <si>
    <t>3.4.2</t>
  </si>
  <si>
    <t>% of HHs having received aid, by last time aid was received</t>
  </si>
  <si>
    <t>[if household had received aid] When was the last time your household received any aid?</t>
  </si>
  <si>
    <t>In the past 30 days
1 to 3 months ago
3 to 6 months ago
6 to 12 months ago
Don't know
Prefer not to answer</t>
  </si>
  <si>
    <t>3.5</t>
  </si>
  <si>
    <t>% of KIs who are aware of impact assessments conducted in the community</t>
  </si>
  <si>
    <t>Are you aware of any impact assessments conducted in the community for aid projects?</t>
  </si>
  <si>
    <t>3.6</t>
  </si>
  <si>
    <t>% of KIs who can recall projects that underwent a post-implementation review</t>
  </si>
  <si>
    <t>Can you recall any aid projects that underwent a post-implementation review in the community?</t>
  </si>
  <si>
    <t>3.7</t>
  </si>
  <si>
    <t>Beneficiary Selection</t>
  </si>
  <si>
    <t>% of KIs who can explain the beneficiary selection process used by aid agencies</t>
  </si>
  <si>
    <t>Can you explain the beneficiary selection process used by aid agencies?</t>
  </si>
  <si>
    <t>Yes, No, Somewhat, Don't Know, Prefer not to answer</t>
  </si>
  <si>
    <t>3.8</t>
  </si>
  <si>
    <t>% of KIs who were consulted or involved in discussing beneficiary selection criteria</t>
  </si>
  <si>
    <t>Were you consulted or involved in discussing the beneficiary selection criteria?</t>
  </si>
  <si>
    <t>3.9</t>
  </si>
  <si>
    <t>Consultation and coordination</t>
  </si>
  <si>
    <t>% of KIs who attended coordination meetings between aid agencies and local authorities</t>
  </si>
  <si>
    <t>Did you attend any coordination meetings between aid agencies and local authorities in the past X months/weeks?</t>
  </si>
  <si>
    <t xml:space="preserve">This indicator refers to information that is better to gather through (or complemented by) semi-structured data collection tools and subsequent qualitative analysis for a deeper understanding (the question must be adapted for semi-structured tools, and not be used in semi-structured tool as it is). If qualitative data collection is not possible, those indicators must be adapted to the context and several structured questions - with an appropriate follow up and skip logic - might be asked to collecting data on the same indicator. </t>
  </si>
  <si>
    <t>3.10</t>
  </si>
  <si>
    <t>% of KIs aware of joint projects between aid agencies and local authorities</t>
  </si>
  <si>
    <t>Are you aware of any joint projects between aid agencies and local authorities?</t>
  </si>
  <si>
    <t>3.11.1</t>
  </si>
  <si>
    <t>% of HHs having been consulted in the X days prior to data collection about the aid they would like to receive prior to receiving it</t>
  </si>
  <si>
    <t>In the last X days, have you or anyone else in your household been asked about what aid you would like to receive?</t>
  </si>
  <si>
    <t>3.11.2</t>
  </si>
  <si>
    <t>% of HHs having been consulted on the type of aid they would like to receive reporting having felt that their opinion was taken into account</t>
  </si>
  <si>
    <t>[if consulted on aid] If yes, do you feel like the opinions voiced by you or other members of your household have been taken into account by aid actors?</t>
  </si>
  <si>
    <t>3.12</t>
  </si>
  <si>
    <t>% of KIs who had interactions with external aid partners in the past X months</t>
  </si>
  <si>
    <t>Have you had interactions with external aid partners in the past X months?</t>
  </si>
  <si>
    <t>3.13</t>
  </si>
  <si>
    <t>% of KIs who believe that aid workers show cultural sensitivity in their interactions</t>
  </si>
  <si>
    <t>Do you believe that aid workers show cultural sensitivity in their interactions with the community?</t>
  </si>
  <si>
    <t>3.14</t>
  </si>
  <si>
    <t>Feedback Mechanisms</t>
  </si>
  <si>
    <t>% of HHs reporting preferred means of providing feedback on aid/aid worker behaviour</t>
  </si>
  <si>
    <t>How would your household prefer to give feedback to aid agencies about the aid you are receiving and / or bad behaviour / misconduct of aid workers?</t>
  </si>
  <si>
    <t>Face to face (at home) with aid worker
Face to face (in office / other venue) with aid worker
Face to face with member of the community 
Complaints and suggestions box
Phone call
SMS
WhatsApp
Facebook
Facebook Messenger
Letter
Tweet
Other (specify)
Do not want to provide feedback
Don't know
Prefer not to answer</t>
  </si>
  <si>
    <t>3.15</t>
  </si>
  <si>
    <t>% of KIs aware of established feedback mechanisms in the community</t>
  </si>
  <si>
    <t>Are you aware of any established feedback mechanisms in the community for aid projects?</t>
  </si>
  <si>
    <t>3.16</t>
  </si>
  <si>
    <t>% of KIs who have seen or heard about feedback being acted upon by aid agencies</t>
  </si>
  <si>
    <t>Have you seen or heard about feedback provided to aid agencies being acted upon?</t>
  </si>
  <si>
    <t>3.17.1</t>
  </si>
  <si>
    <t>Inclusion</t>
  </si>
  <si>
    <t xml:space="preserve">% of KIs who attended community meetings where aid project plans were discussed in the past year by type of KI (gender, population group &amp; other relevant disagregation) </t>
  </si>
  <si>
    <t>Are you aware of any community meetings that took place last year?</t>
  </si>
  <si>
    <t>Gender</t>
  </si>
  <si>
    <t>3.17.2</t>
  </si>
  <si>
    <t>[If YES] Did you attend any community meetings where aid project plans were discussed in the past year?</t>
  </si>
  <si>
    <t>3.18.1</t>
  </si>
  <si>
    <t>% of KIs who can identify community members involved in aid project committees</t>
  </si>
  <si>
    <t>Can you identify any community members involved in aid project committees?</t>
  </si>
  <si>
    <t>integer</t>
  </si>
  <si>
    <t>3.18.2</t>
  </si>
  <si>
    <t>If yes, what is their gender?</t>
  </si>
  <si>
    <t>Male, Female, Other, Prefer not to answer</t>
  </si>
  <si>
    <t>3.18.3</t>
  </si>
  <si>
    <t>If yes, what is their age?</t>
  </si>
  <si>
    <t>3.18.4</t>
  </si>
  <si>
    <t>If yes, what is their profile?</t>
  </si>
  <si>
    <t>[list of contextualised choice], Other, Don't know, Prefer to not answer</t>
  </si>
  <si>
    <t>3.19.1</t>
  </si>
  <si>
    <t>Level of satisfaction with assistance</t>
  </si>
  <si>
    <t>% of HHs having received assistance having been satisfied with the aid they received</t>
  </si>
  <si>
    <t>[if household had received aid] If you have received aid in the last X months, was your household satisfied with the aid you received?</t>
  </si>
  <si>
    <t>3.19.2</t>
  </si>
  <si>
    <t>% of HHs not having been satisfied with the aid received, by reason</t>
  </si>
  <si>
    <t>[if households were not satisfied] If you were not satisfied, why were you not satisfied with the aid received?</t>
  </si>
  <si>
    <t>Assistance received was of poor quality
Assistance received was insufficient
Did not receive the aid on time / delays in delivery of aid
The assistance delivered was not what the household needed the most
The assistance was not easily accessible (e.g. the distribution or the service point was too far away, in a hard-to-reach area, etc.)
Other (specify)
Don't know
Prefer not to answer</t>
  </si>
  <si>
    <t>3.19.3</t>
  </si>
  <si>
    <t>% of HHs satisfied with aid workers' behaviour in their area</t>
  </si>
  <si>
    <t>Are you and other members of your household satisfied with the way aid workers generally behave in your area?</t>
  </si>
  <si>
    <t>3.19.4</t>
  </si>
  <si>
    <t>% of HHs not satisfied with aid workers' behaviour in their area, by reason</t>
  </si>
  <si>
    <t>If you and other members of your household are not satisfied with the way aid workers generally behave in your area, what are the reasons?</t>
  </si>
  <si>
    <t>List of reasons [Developed in-country], Don't know, Prefer not to answer</t>
  </si>
  <si>
    <t>3.20</t>
  </si>
  <si>
    <t>Preferred communication means</t>
  </si>
  <si>
    <t>% of HHs wanting to receive any information reporting preferred source of information</t>
  </si>
  <si>
    <t>Who or where would your household prefer to receive this information from?</t>
  </si>
  <si>
    <t>TV channel
Radio station
Printed newspapers, magazines
Online newspapers and news websites
Government representative or other authorities
Community leader
Religious leader
Neighbour or friend
National aid agency
International aid agency
Other (specify)
Don't know
Prefer not to answer</t>
  </si>
  <si>
    <t>Gender, Protection</t>
  </si>
  <si>
    <t>3.21</t>
  </si>
  <si>
    <t>% of HHs wanting to receive any information reporting preferred channel for receiving information</t>
  </si>
  <si>
    <t>What is your household's preferred means (channel) of receiving this information?</t>
  </si>
  <si>
    <t>Phone call
SMS
Twitter
Facebook 
WhatsApp
Face to face
Other Internet platforms
TV
Newspapers, magazines
Billboards, posters
Leaflets
Loudspeakers
Face to face (specify from whom)
Other (specify)
Don't know
Prefer not to answer</t>
  </si>
  <si>
    <t>3.22</t>
  </si>
  <si>
    <t>% of HHs reporting preferred language for written information</t>
  </si>
  <si>
    <t>Which language or languages does your household prefer to receive written information in?</t>
  </si>
  <si>
    <t>List of local languages [Developed in-country]
Don't want to receive written information
Don't know
Prefer not to answer</t>
  </si>
  <si>
    <t>3.23</t>
  </si>
  <si>
    <t>% of HHs reporting preferred language for spoken information</t>
  </si>
  <si>
    <t>Which language or languages does your household prefer to receive spoken information in?</t>
  </si>
  <si>
    <t>List of local languages [Developed in-country]
Don't want to receive spoken information
Don't know
Prefer not to answer</t>
  </si>
  <si>
    <t>3.24</t>
  </si>
  <si>
    <t>Priority needs</t>
  </si>
  <si>
    <t>% of HHs reporting top 3 priority needs, by type of need</t>
  </si>
  <si>
    <t>What are currently the top three priority needs of your household?</t>
  </si>
  <si>
    <t>Shelter / housing
Food
Healthcare
Seeds or other agricultural inputs
Livelihoods support / employment
Drinking water
Hygiene NFIs (e.g. soap, sanitary pads) and sanitation services (e.g. latrines)
Need to repay debt
Education for children under 18
Psychosocial support
Nutrition services
Protection / safety
Infrastructure 
None
Other (specify)
Don't know
Prefer not to answer</t>
  </si>
  <si>
    <t>3.25</t>
  </si>
  <si>
    <t>% of HHs by top 3 reported information needs</t>
  </si>
  <si>
    <t>What type of information would your household like to receive from aid providers? Please specify your top 3 priorities.</t>
  </si>
  <si>
    <t>None
News on what is happening here
News on what is happening at home
Finding missing people
The security situation here
How to register for aid
How to get water
How to get food
How to get shelter/accommodation/shelter materials
Information about nutrition
Food prices
Local crop/livestock prices
How to get cooking fuel/firewood
The weather
How to get healthcare/medical attention
How to get help after attack or harassment
How to stay safe from attack/harassment
How to replace personal documentation (e.g. birth certificate, ID)
How to get access to education
How to find work
How to get transport
How to get more money/financial support
Info about possible return to place of origin
Info about relocation
Info about the aid agencies they are receiving aid from
How to complain about the aid you are receiving
How to complain about bad behaviour of aid workers
What behaviour you should expect from aid workers
Legal rights to housing, land and property
Other (specify)
Don't know
Prefer not to answer</t>
  </si>
  <si>
    <t>3.26</t>
  </si>
  <si>
    <t>Transparency</t>
  </si>
  <si>
    <t>% of KIs aware of community briefings or information sessions held by aid agencies in the past X months</t>
  </si>
  <si>
    <t>In the past X months, are you aware of any community briefings or information sessions held by aid agencies?</t>
  </si>
  <si>
    <t>3.27</t>
  </si>
  <si>
    <t>% of KIs who confirm that informational materials were distributed in their community in the past year</t>
  </si>
  <si>
    <t>In the past year, can you confirm if any informational materials related to aid projects were distributed in your community?</t>
  </si>
  <si>
    <t>3.28</t>
  </si>
  <si>
    <t>Displacement</t>
  </si>
  <si>
    <t>Registration</t>
  </si>
  <si>
    <t>Target population registered by authorities as Internally Displaced Persons -if relevant to context</t>
  </si>
  <si>
    <t>Is (NAME) registered with authorities as an IDP?</t>
  </si>
  <si>
    <t>Yes
No
Don't know
Prefer not to answer</t>
  </si>
  <si>
    <t>5.3.1</t>
  </si>
  <si>
    <t>Mandatory for displacement-related contexts.</t>
  </si>
  <si>
    <t>3.29.1</t>
  </si>
  <si>
    <t>Education</t>
  </si>
  <si>
    <t>Access</t>
  </si>
  <si>
    <t>% of children aged between 5 and 17 yo who attended formal school during the current school year, by teaching modality</t>
  </si>
  <si>
    <t>During the current school year, was [name] mostly taught in-person or remotely?</t>
  </si>
  <si>
    <t>In person, Remotely, Don't know, Prefer not to answer</t>
  </si>
  <si>
    <t>Repeat for each school-aged child</t>
  </si>
  <si>
    <t>3.29.2</t>
  </si>
  <si>
    <t>% of children aged between 5 and 17 yo who attended formal school regularly during the current school year</t>
  </si>
  <si>
    <t>During the current school year, did [name] attend school regularly?</t>
  </si>
  <si>
    <t>3.29.3</t>
  </si>
  <si>
    <t>% of children aged between 5 and 17 yo who attended formal school during the current school year, by level and grade</t>
  </si>
  <si>
    <t>During the current school year, which level and grade or year did [name] attend?</t>
  </si>
  <si>
    <t>Primary, lower secondary, Upper secondary, Higher, Don't know, Prefer not to answer</t>
  </si>
  <si>
    <t>2.1.11</t>
  </si>
  <si>
    <t>3.30</t>
  </si>
  <si>
    <t>% of adults (18+) having completed primary, secondary and/or tertiary education</t>
  </si>
  <si>
    <t>What is the highest level of education you have completed?</t>
  </si>
  <si>
    <t>A.1.9</t>
  </si>
  <si>
    <t>Repeat for each 18+ HH member</t>
  </si>
  <si>
    <t>3.31</t>
  </si>
  <si>
    <t>% of HHs by location of school frequented by school-aged children</t>
  </si>
  <si>
    <t>Where is the school that your school-aged children attend located?</t>
  </si>
  <si>
    <t>Within the community, Outside the community but nearby, Far from the community, [contextualised list of localities], Don't know, Prefer not to answer, Other (please specify)</t>
  </si>
  <si>
    <t>3.32</t>
  </si>
  <si>
    <t>% of children aged between 5 and 17 yo enrolled in informal school during the current school year</t>
  </si>
  <si>
    <t>During the current school year, was [name] enrolled in non-formal/non-institutionalised schools ?</t>
  </si>
  <si>
    <t>3.33</t>
  </si>
  <si>
    <t>% of KIs reporting the accessibility of school, by grade and gender</t>
  </si>
  <si>
    <t>Are [grade] schools in the area accessible for both girls and kids?</t>
  </si>
  <si>
    <t>Yes for both boys and girls, For boys only, For girls only, Don't know, Prefer not to answer</t>
  </si>
  <si>
    <t>repeat for each type of educational facility</t>
  </si>
  <si>
    <t>3.34</t>
  </si>
  <si>
    <t>Barriers in access</t>
  </si>
  <si>
    <t>% of school-aged children not enrolled in or not regularly attending formal school during the current school year, by reason</t>
  </si>
  <si>
    <t>During the current school year, what was the main reason [name] did not access formal school?</t>
  </si>
  <si>
    <t xml:space="preserve">Cannot afford education-related costs (e.g. tuition, supplies, transportation), Lack of school in the community , Remote learning is the only modality available and the HH would not have the necessary equipment, connectivity or regular electricity/power to access it, Protection risks while commuting to school, Protection risks while at school, Child helping at home / farm                                                    , Disability , Education is not a priority, Not able to register or enrol child in the school, Children join/recruited by armed groups, Marriage and/or pregnancy , Language issues, Lack of male / female separation, For distance learning (if applicable, see indicator 2):, Internet/technology is not reliable, Equipment (tablets/computers/radio etc.) need to be shared between several children in the household, Other, Don't know, Decline to answer, </t>
  </si>
  <si>
    <t>2.1.13</t>
  </si>
  <si>
    <t>3.35.1</t>
  </si>
  <si>
    <t>% of children aged between 5 and 17 yo who were able to safely travel to school and learn in safe conditions at the school during the current school year</t>
  </si>
  <si>
    <t>During the current school year, was [name] able to travel safely to school and learn in safe conditions at the school?</t>
  </si>
  <si>
    <t>3.35.2</t>
  </si>
  <si>
    <t>% of children aged between 5 and 17 yo who were not able to travel safely to school and learn in safe conditions at the school, by main reasons</t>
  </si>
  <si>
    <t>If not, what were the main barriers faced by [name] to travel safely to school and learn in safe conditions at the school?</t>
  </si>
  <si>
    <t>Security concerns of child travelling to school (fear of physical threat, abduction etc.), At the school: , Schools' attack, Recruitment by armed groups, Gender-based or sexual violence/abuse, Verbal bullying or discrimination, Physical bullying between students, Physical punishment from teachers, Unsafe infrastructure, Lack of teaching staff qualified in providing psychosocial support, Lack of referal mechanism at the school, Discrimination of the child based (sex, age, disability, HIV status, nationality, race, ethnicity, tribe, clan, caste, religion, language, culture, political affiliation, sexual orientation  socio-economic background, geographic location or specific education needs), Other (specify), Not sure / Prefer not to answer</t>
  </si>
  <si>
    <t>3.36</t>
  </si>
  <si>
    <t>Main reported barriers faced by boys to access education in schools</t>
  </si>
  <si>
    <t>What are the top three barriers, if any, that girls in the school face to accessing education?</t>
  </si>
  <si>
    <t>No barriers (cannot select with any other option)
Schools closed (for any reason)
Schools overcrowded
Security concerns of child travelling or being at school
Distance to school too far / lack transportation
School fees and/or cost of materials
Child helping at home / farm
Child working outside home
Parents unaware of education opportunities available
Parents don't value education 
Parents don't approve of curriculum
Cultural beliefs
Children psychologically distressed
Displacement due to conflict
Children lack documentation needed to register
Flooding / weather events 
Children join/recruited by armed groups
Marriage and/or pregnancy
Language issues
Poor school infrastructure/facilities
Lack of qualified teaching staff
Insufficient WASH facilities in schools
(choices to be contextualized / only keep the relevant ones)</t>
  </si>
  <si>
    <t>3.37</t>
  </si>
  <si>
    <t>Main reported barriers faced by girls to access education in schools</t>
  </si>
  <si>
    <t>What are the top three barriers, if any, that boys in the school face to accessing education?</t>
  </si>
  <si>
    <t>3.38</t>
  </si>
  <si>
    <t>DRR</t>
  </si>
  <si>
    <t>% of households having received education or acquired skills relating to local risks (preparation, coping and recovering procedures from disasters)</t>
  </si>
  <si>
    <t>Has any member of your household received education or acquired skills related to local risks, such as preparation, coping, and recovery procedures from disasters?</t>
  </si>
  <si>
    <t>3.39</t>
  </si>
  <si>
    <t>Impact of crisis</t>
  </si>
  <si>
    <t>% of school-aged children who have had their education disrupted due to displacement or natural disasters</t>
  </si>
  <si>
    <t>Has [Child's Name]'s education been disrupted due to displacement or natural disasters?</t>
  </si>
  <si>
    <t>3.40</t>
  </si>
  <si>
    <t>% of parents reporting reluctance to send their children to school due to safety concerns stemming from recent crises</t>
  </si>
  <si>
    <t>Are you reluctant to send your children to school due to safety concerns related to recent crises?</t>
  </si>
  <si>
    <t>3.41</t>
  </si>
  <si>
    <t>% of KIs reporting groups facing unequal access to education services (gender, ethnic groups, displacement status, …)</t>
  </si>
  <si>
    <t>Are there groups in the community that face unequal access to education services? (you can think of any groups based on gender, ability status, ethnicity, location)</t>
  </si>
  <si>
    <t>Yes people with disabilities have a lower access,
Yes girls have a lower access,
Yes [specify context-relevant group and repeat for each], 
No, 
Don't know, 
Prefer not to answer</t>
  </si>
  <si>
    <t>3.42</t>
  </si>
  <si>
    <t>% of KIs reporting groups facing unequal access to education services (gender, ethnic groups, displacement status, …) by challenge</t>
  </si>
  <si>
    <t>For each group you mentioned, what are the specific difficulties or barriers they face when accessing education services?</t>
  </si>
  <si>
    <t>Limited access to schools or educational institutions
Lack of transportation options
Financial constraints (e.g., inability to afford school fees, supplies)
Discrimination or bias
Insufficient educational facilities or resources
Language barriers
Health-related challenges
Safety concerns
Other (Please specify)</t>
  </si>
  <si>
    <t>3.43</t>
  </si>
  <si>
    <t>Mechanisms in place for service delivery</t>
  </si>
  <si>
    <t>Reported mechanisms in place for service delivery</t>
  </si>
  <si>
    <t>What mechanisms are in place in your community for service delivery?</t>
  </si>
  <si>
    <t>Community committees, Local NGOs, International NGOs, Government services, Don't know, Prefer not to answer</t>
  </si>
  <si>
    <t>HH and/or KII</t>
  </si>
  <si>
    <t>3.44</t>
  </si>
  <si>
    <t>Preferred modalities of assistance</t>
  </si>
  <si>
    <t>% of HHs by preferred education support modality</t>
  </si>
  <si>
    <t>What is your preferred modality for receiving education support?</t>
  </si>
  <si>
    <t>Direct financial support, In-kind support (e.g., books, uniforms), Community-based educational programs,  Online/distance learning, Don't know, Prefer not to answer, Other (please specify)</t>
  </si>
  <si>
    <t>3.45</t>
  </si>
  <si>
    <t>Main reported educational needs</t>
  </si>
  <si>
    <t>What are the main educational needs in your household?</t>
  </si>
  <si>
    <t>Access to schools, Quality of education, Educational materials, Safety in schools, Specialized education (e.g., for children with disabilities), Enhance safe transportation, [Other contextualised options], Don't know, Prefer not to answer, Other (please specify)</t>
  </si>
  <si>
    <t>3.46</t>
  </si>
  <si>
    <t>Transportation</t>
  </si>
  <si>
    <t>% of KIs reporting students traveling outside their neighbourhoods to attend school</t>
  </si>
  <si>
    <t>Do students in the area travel outside their neighbourhoods to attend school?</t>
  </si>
  <si>
    <t>3.47.1</t>
  </si>
  <si>
    <t>Primary mode of transport used by students traveling outside their neighbourhood</t>
  </si>
  <si>
    <t>What is the primary mode of transport used by students traveling outside their neighbourhood to attend school?</t>
  </si>
  <si>
    <t>Walking, Bicycling, Public transport, [Other modes], Don't know, Prefer not to answer</t>
  </si>
  <si>
    <t>3.47.2</t>
  </si>
  <si>
    <t>Energy</t>
  </si>
  <si>
    <t>% of HHs by number of hours of access to electricity</t>
  </si>
  <si>
    <t>How many hours per day, on average, does your household have access to power (electricity)? Enter '0' if you have no access at all.</t>
  </si>
  <si>
    <t>[integer]</t>
  </si>
  <si>
    <t>3.48</t>
  </si>
  <si>
    <t>% of HHs by barrier to access electricity</t>
  </si>
  <si>
    <t>What barriers does your household face in accessing electricity?</t>
  </si>
  <si>
    <t>Financial constraints, Lack of infrastructure, [Other barriers], None, Don't know, Prefer not to answer</t>
  </si>
  <si>
    <t>3.49</t>
  </si>
  <si>
    <t>% of HHs by barrier to access cooking fuel</t>
  </si>
  <si>
    <t>What barriers does your household face in accessing cooking fuel?</t>
  </si>
  <si>
    <t>Financial constraints, Lack of availability, [Other barriers], None, Don't know, Prefer not to answer</t>
  </si>
  <si>
    <t>3.50</t>
  </si>
  <si>
    <t>Main source of energy</t>
  </si>
  <si>
    <t>% of HHs by main source of electricity</t>
  </si>
  <si>
    <t>What is your household's main source of electricity?</t>
  </si>
  <si>
    <t>Private generator, Neighbourhood generator, Main network / grid, Solar panels, Battery, No source of electricity, Other (specify), Don´t know, Prefer not to answer</t>
  </si>
  <si>
    <t>LCC - if off-grid, might not be affected by energy plant disruption</t>
  </si>
  <si>
    <t>3.51</t>
  </si>
  <si>
    <t>% of HHs by main source of cooking fuel</t>
  </si>
  <si>
    <t>What is your household's main source of cooking fuel?</t>
  </si>
  <si>
    <t>Electricity, Gas, Kerosene, Wood / charcoal, Other (specify), Don't know, Prefer not to answer</t>
  </si>
  <si>
    <t>3.52</t>
  </si>
  <si>
    <t>Food Security</t>
  </si>
  <si>
    <t>% of HHs by barriers to access food</t>
  </si>
  <si>
    <t>Is your household facing any barrier to access food?</t>
  </si>
  <si>
    <t>Financial constraints, Lack of availability, Unsecure markets, Restriction of movement, [Othercontextualised reasons], No barriers, Don't know, Prefer not to answer</t>
  </si>
  <si>
    <t>2.2.2</t>
  </si>
  <si>
    <t>3.53</t>
  </si>
  <si>
    <t>Coping strategies</t>
  </si>
  <si>
    <t>% of HHs, per reduced Coping Strategy Index (rCSI) strategy AND % of HHs, per rCSI category</t>
  </si>
  <si>
    <t>Please refer to specific guidance, https://acted.sharepoint.com/:f:/r/sites/IMPACT-Public_health/Shared%20Documents/Sectors/FSL/02_Assessment%20Design/2.%20FSL%20Indicators%20Guidance/rCSI?csf=1&amp;web=1&amp;e=G88T0Q</t>
  </si>
  <si>
    <t>2.2.3</t>
  </si>
  <si>
    <t>FSL guidance</t>
  </si>
  <si>
    <t>3.54</t>
  </si>
  <si>
    <t>% of HHs by livelihood coping strategies (LCSI)</t>
  </si>
  <si>
    <t>Please refer to specific guidance, https://acted.sharepoint.com/:f:/r/sites/IMPACT-Public_health/Shared%20Documents/Sectors/FSL/02_Assessment%20Design/2.%20FSL%20Indicators%20Guidance/LCSI?csf=1&amp;web=1&amp;e=OxUyiz</t>
  </si>
  <si>
    <t>Keep in mind the contextualisation of this indicator, if possible consult with the MSNA team in the country. Please refer to specific guidance, https://acted.sharepoint.com/:f:/r/sites/IMPACT-Public_health/Shared%20Documents/Sectors/FSL/02_Assessment%20Design/2.%20FSL%20Indicators%20Guidance/LCSI?csf=1&amp;web=1&amp;e=OxUyiz</t>
  </si>
  <si>
    <t>3.55</t>
  </si>
  <si>
    <t>Main source of food</t>
  </si>
  <si>
    <t>% of HHs by main source of food</t>
  </si>
  <si>
    <t>What are your household's habitual sources of food? Please rank the three main sources, from the largest to the smallest.</t>
  </si>
  <si>
    <t>Purchase, Aid/relief, Own production, Borrowing, [Other sources], Don't know, Prefer not to answer</t>
  </si>
  <si>
    <t>relevant for drought hazard if agricultural activities</t>
  </si>
  <si>
    <t>3.56</t>
  </si>
  <si>
    <t>% of HHs by secondary source of food</t>
  </si>
  <si>
    <t>What are your household's alternative sources of food? Please rank the three main sources, from the largest to the smallest.</t>
  </si>
  <si>
    <t>3.57</t>
  </si>
  <si>
    <t>Severity</t>
  </si>
  <si>
    <t>% of HHs, per Household Hunger Scale (HHs) category</t>
  </si>
  <si>
    <t>Please refer to specific guidance, https://acted.sharepoint.com/:f:/r/sites/IMPACT-Public_health/Shared%20Documents/Sectors/FSL/02_Assessment%20Design/2.%20FSL%20Indicators%20Guidance/HHS?csf=1&amp;web=1&amp;e=zZ9veX</t>
  </si>
  <si>
    <t>2.2.1</t>
  </si>
  <si>
    <t>Please consider this indicator mainly in protracted contexts (as opposed to rCSI). Please refer to specific guidance, https://acted.sharepoint.com/:f:/r/sites/IMPACT-Public_health/Shared%20Documents/Sectors/FSL/02_Assessment%20Design/2.%20FSL%20Indicators%20Guidance/HHS?csf=1&amp;web=1&amp;e=zZ9veX</t>
  </si>
  <si>
    <t>3.58</t>
  </si>
  <si>
    <t>% of HHs per Food Consumption Score (FCS)</t>
  </si>
  <si>
    <t>Please refer to specific guidance, https://acted.sharepoint.com/:f:/r/sites/IMPACT-Public_health/Shared%20Documents/Sectors/FSL/02_Assessment%20Design/2.%20FSL%20Indicators%20Guidance/FCS?csf=1&amp;web=1&amp;e=Xzw822</t>
  </si>
  <si>
    <t>3.59</t>
  </si>
  <si>
    <t>Health</t>
  </si>
  <si>
    <t>% of HHs with access to health facilities in the past X months</t>
  </si>
  <si>
    <t>In the past X months, did any member of your household access health facilities?</t>
  </si>
  <si>
    <t>2.1.7</t>
  </si>
  <si>
    <t>3.60</t>
  </si>
  <si>
    <t>% of HHs reported paying for services last time they sought health care, by type of service</t>
  </si>
  <si>
    <t>The last time you sought healthcare, did you pay for any of the following services?</t>
  </si>
  <si>
    <t>Consultation, Medication, Laboratory tests, Surgery, [Other services], None, Don't know, Prefer not to answer</t>
  </si>
  <si>
    <t>3.61</t>
  </si>
  <si>
    <t>Main reported accessible health services, by type of service</t>
  </si>
  <si>
    <t>Which health services are most accessible to your household?</t>
  </si>
  <si>
    <t>Primary care, Maternal care, Pediatric care, Surgical services, Dental care, [Other services], Don't know, Prefer not to answer</t>
  </si>
  <si>
    <t>3.62.1</t>
  </si>
  <si>
    <t>% of female respondents in male-headed HHs having difficulties to access to health facilities</t>
  </si>
  <si>
    <t>If you are a female respondent in a male-headed household, have you faced difficulties accessing health facilities?</t>
  </si>
  <si>
    <t>3.62.2</t>
  </si>
  <si>
    <t>% of female respondents in male-headed HHs havinc difficulties to health facilities by type of barrier</t>
  </si>
  <si>
    <t xml:space="preserve">If yes, what difficulty did you face? </t>
  </si>
  <si>
    <t>[relevant difficulty 1], [relevant difficulty 2], Don't know, Prefer not to answer</t>
  </si>
  <si>
    <t>3.63</t>
  </si>
  <si>
    <t>% of HHs by travel time to access primary healthcare facility</t>
  </si>
  <si>
    <t>How long does it take for members of your household to travel to the nearest primary healthcare facility?</t>
  </si>
  <si>
    <t>[Time range], Don't know, Prefer not to answer</t>
  </si>
  <si>
    <t>3.64.1</t>
  </si>
  <si>
    <t>% of HH with access to a functioning health facility in case of need in the previous X months</t>
  </si>
  <si>
    <t>In the preceding X months, did any member of your household fall ill, and if so, were they able to access health services?</t>
  </si>
  <si>
    <t>Yes they could, No they could not, Don't know, No one felt ill, Prefer not to answer</t>
  </si>
  <si>
    <t>3.64.2</t>
  </si>
  <si>
    <t>% of HHs with percived access to a functioning healthcare facility</t>
  </si>
  <si>
    <t>If no one felt ill, do you think your household would have access to a functioning health facility?</t>
  </si>
  <si>
    <t>3.65</t>
  </si>
  <si>
    <t>% of HHs by reported specific barriers faced by men in accessing healthcare</t>
  </si>
  <si>
    <t>In the past X month, did any male member of your household face specific barriers preventing him accessing healthcare?</t>
  </si>
  <si>
    <t>Yes [relevant barrier 1], Yes [relevant barrier 2], No, Don't know, Prefer not to answer</t>
  </si>
  <si>
    <t>Protection</t>
  </si>
  <si>
    <t>3.66</t>
  </si>
  <si>
    <t>% of HHs by reported specific barriers faced by women in accessing healthcare</t>
  </si>
  <si>
    <t>In the past X month, did any female member of your household face specific barriers preventing her accessing healthcare?</t>
  </si>
  <si>
    <t>3.67</t>
  </si>
  <si>
    <t>Facilities</t>
  </si>
  <si>
    <t>% of HHs sought health care, by facility type</t>
  </si>
  <si>
    <t>Where did members of your household seek healthcare the last time they needed it?</t>
  </si>
  <si>
    <t>Local clinic, Hospital, Pharmacy, [Other locations], Don't know, Prefer not to answer</t>
  </si>
  <si>
    <t>3.68</t>
  </si>
  <si>
    <t>% of HHs sought health care, by location (geographic)</t>
  </si>
  <si>
    <t>Where did members of your household go to seek healthcare the last time they needed it?</t>
  </si>
  <si>
    <t>Within the locality, Outside the locality but nearby, Far from the locality, [contextualised list of localities], Don't know, Prefer not to answer, Other (please specify)</t>
  </si>
  <si>
    <t>3.69</t>
  </si>
  <si>
    <t>Evolution of access to healthcare</t>
  </si>
  <si>
    <t>How has access to healthcare changed in the locality over the past year?</t>
  </si>
  <si>
    <t>Improved, Remained the same, Deteriorated, Don't know, Prefer not to answer</t>
  </si>
  <si>
    <t>3.70</t>
  </si>
  <si>
    <t>% of household by preferred health care providers</t>
  </si>
  <si>
    <t>Which healthcare provider does your household prefer to visit?</t>
  </si>
  <si>
    <t>Government hospital, Private clinic, Pharmacy, Traditional healer, [Other providers], Don't know, Prefer not to answer</t>
  </si>
  <si>
    <t>3.71</t>
  </si>
  <si>
    <t>% of HHs with an unmet health care need, by type of need</t>
  </si>
  <si>
    <t>In the past year, did any member of your household have a health need that was not met? If yes, what type of need?</t>
  </si>
  <si>
    <t>Medical consultation, Surgery, Medication, Rehabilitation, [Other needs], No, Don't know, Prefer not to answer</t>
  </si>
  <si>
    <t>2.1.8</t>
  </si>
  <si>
    <t>3.72</t>
  </si>
  <si>
    <t>% of HHs reporting a behavioral change in the past year, by age and gender</t>
  </si>
  <si>
    <t>Has any member of your household, by age and gender, reported a behavioral change in the past year?</t>
  </si>
  <si>
    <t>Yes [Specify age and gender], No, Don't know, Prefer not to answer</t>
  </si>
  <si>
    <t>3.73</t>
  </si>
  <si>
    <t>% of HHs reporting a behavioral change, by type of change</t>
  </si>
  <si>
    <t>What type of behavioral change has been reported by members of your household? [Behavioral change means that people or groups change what they do or how they act because of things inside them or things happening around them. This can be a deliberate choice or something that happens without them realizing it]</t>
  </si>
  <si>
    <t>Dietary habits, Physical activity, Alcohol/tobacco use, [Other changes], None, Don't know, Prefer not to answer</t>
  </si>
  <si>
    <t>3.74</t>
  </si>
  <si>
    <t>% of HHs that have members with chronic diseases</t>
  </si>
  <si>
    <t xml:space="preserve">Do any members of your household have chronic diseases, such as diabetes, hypertension, asthma, rheumatoid arthritis, or other? </t>
  </si>
  <si>
    <t>Yes [Specify disease], No, Don't know, Prefer not to answer</t>
  </si>
  <si>
    <t>3.75</t>
  </si>
  <si>
    <t>Satisfaction</t>
  </si>
  <si>
    <t>% of HHs satisfied with the quality of healthcare services</t>
  </si>
  <si>
    <t>Are you satisfied with the quality of healthcare services available in your locality?</t>
  </si>
  <si>
    <t>Very satisfied, Satisfied, Neutral, Dissatisfied, Very dissatisfied, Don't know, Prefer not to answer</t>
  </si>
  <si>
    <t>3.76</t>
  </si>
  <si>
    <t>% or # of KI reporting majority of HHs are dissatisfied or very dissatisfied with quality and availability of healthcare services by reason</t>
  </si>
  <si>
    <t>Do you believe the majority of households in your locality are dissatisfied with the quality and availability of healthcare services?</t>
  </si>
  <si>
    <t>Yes [Specify reason], Other (specify), No, Don't know, Prefer not to answer</t>
  </si>
  <si>
    <t>3.77.1</t>
  </si>
  <si>
    <t>HLP</t>
  </si>
  <si>
    <t>Disputes resolution</t>
  </si>
  <si>
    <t>% of HHs experiencing land disputes in the past X months</t>
  </si>
  <si>
    <t>Have you experienced any land disputes in the past X months?</t>
  </si>
  <si>
    <t>3.77.2</t>
  </si>
  <si>
    <t>% of HHs by type of land dispute experienced in the past X months</t>
  </si>
  <si>
    <t>What type of land dispute have you experienced in the past X months?</t>
  </si>
  <si>
    <t>Boundary dispute, Ownership dispute, Inheritance dispute, Access dispute, Other (please specify)</t>
  </si>
  <si>
    <t>3.78.1</t>
  </si>
  <si>
    <t>% of HHs considering selling or relocating due to HLP issues</t>
  </si>
  <si>
    <t>Are you considering selling or relocating due to housing, land, or property issues?</t>
  </si>
  <si>
    <t>Yes, No, Don't know, Prefer to not answer</t>
  </si>
  <si>
    <t>3.78.2</t>
  </si>
  <si>
    <t>Expropriation &amp; Compensation</t>
  </si>
  <si>
    <t>% of HHs by ownership/tenancy of housing, land and property prior to displacement</t>
  </si>
  <si>
    <t>Did you/your household have to leave behind any of the following possessions where you lived before you were displaced: house, land, livestock, other property? [list all properties left behind]
1. house 
2. land, 
3. livestock, 
4. other property?
[Contextualise, e.g. add jewelry, cars as relevant. It may be necessary for other analytical purposes (for example of future intentions) to ask for details about the type of property that has been left behind, but when calculating the indicator, it is not relevant to distinguish between the different types.
If several displacements you may need to ask separately for each displacement.]</t>
  </si>
  <si>
    <t xml:space="preserve">For each property:
1. Yes
2. No
</t>
  </si>
  <si>
    <t>4.1.1</t>
  </si>
  <si>
    <t>Highly recommended for protracted displacement-related contexts</t>
  </si>
  <si>
    <t>3.79.1</t>
  </si>
  <si>
    <t>% of HHs with housing, land and property left behind who successfully accessed restitution or compensation mechanisms (% of % of HHs with HLP left behind) - if relevant to context</t>
  </si>
  <si>
    <t xml:space="preserve">Have you/your household filed a restitution/ compensation claim for [each abandoned HLP]?
</t>
  </si>
  <si>
    <t xml:space="preserve">1. Yes, formal mechanisms
2. Yes, informal mechanisms
3. No
4. Don’t want to answer
5. Don’t know.
</t>
  </si>
  <si>
    <t>4.1.3</t>
  </si>
  <si>
    <t>3.79.2</t>
  </si>
  <si>
    <t>% of HHs with housing, land and property  left behind who have had their claims to assets (incl. land and property) resolved</t>
  </si>
  <si>
    <t xml:space="preserve">Has your claim [submitted for each abandoned HLP item] been resolved?
</t>
  </si>
  <si>
    <t xml:space="preserve">1. Yes
2. No
3. Don’t want to answer
4. Don’t know.
</t>
  </si>
  <si>
    <t>4.1.5</t>
  </si>
  <si>
    <t>3.79.3</t>
  </si>
  <si>
    <t>% of HHs with housing, land and property  left behind who have had their claims to assets (incl. land and property) enforced</t>
  </si>
  <si>
    <t>[if the claim is resolved] Has the claim been enforced?</t>
  </si>
  <si>
    <t>1. Yes
2. No
3. Don’t want to answer
4. Don’t know.</t>
  </si>
  <si>
    <t>4.1.6</t>
  </si>
  <si>
    <t>3.79.4</t>
  </si>
  <si>
    <t>% of HHs who did not access restitution or compensation mechanisms by main reason</t>
  </si>
  <si>
    <t>[if having abandoned HLP and no access to compensation/restitution mechanisms] Why has your household not accessed any restitution/compensation mechanisms?</t>
  </si>
  <si>
    <t>1. Do not know how to submit claims/access
2. Lack of documentation required for submitting claim
3. Lack of trust in clam process
4. Other [elaborate further by context]</t>
  </si>
  <si>
    <t>4.1.7</t>
  </si>
  <si>
    <t>3.79.5</t>
  </si>
  <si>
    <t>% of HHs that have applied for HLP compensation, by current status of application</t>
  </si>
  <si>
    <t>Have you applied for housing, land, or property compensation?</t>
  </si>
  <si>
    <t>Yes Applied and approved, Yes Applied and pending, Yes Applied and denied, Not applied yet, No need to apply</t>
  </si>
  <si>
    <t>3.79.6</t>
  </si>
  <si>
    <t>Top 3 reported reasons that HHs with damaged/destroyed HLP have not applied for or received housing, land, or property compensation</t>
  </si>
  <si>
    <t>If you have not applied for or received compensation for damaged/destroyed housing, land, or property, what is the reason?</t>
  </si>
  <si>
    <t>Lack of knowledge about the process, Fear of denial, Lack of required documentation, Other (please specify)</t>
  </si>
  <si>
    <t>3.80</t>
  </si>
  <si>
    <t>Land Allocation</t>
  </si>
  <si>
    <t>% of HHs with ownership or secure rights over agricultural land</t>
  </si>
  <si>
    <t>Do you or anyone in your household have ownership or secure rights over agricultural land?</t>
  </si>
  <si>
    <t>3.3.1</t>
  </si>
  <si>
    <t>3.81</t>
  </si>
  <si>
    <t>Land Disputes &amp; Resolution</t>
  </si>
  <si>
    <t>% of HHs reporting housing, land, and property issues, by type of issue</t>
  </si>
  <si>
    <t>Do you currently have any of the following problems related to housing, land and property?</t>
  </si>
  <si>
    <t xml:space="preserve">Disputed ownership, Property unlawfully occupied by others (secondary occupation), Disputes about rent (including payment) between landlord and tenant, Rules and processes on housing and land not clear, Inheritance issues , Lack or loss of housing land tenancy or ownership documents, Looting of private property, Threat of eviction/harassment by landlord or others, Other (specify), None of the above, Don´t know, Prefer not to answer, </t>
  </si>
  <si>
    <t>3.82</t>
  </si>
  <si>
    <t>Ownership &amp; Documentation</t>
  </si>
  <si>
    <t>% of HHs with documents to prove ownership/tenancy of housing, land and property left behind (% of total % of HHs who left behind HLP)</t>
  </si>
  <si>
    <t>Do you/your household currently have documents to prove ownership/occupation of your abandoned housing, land and property? (Ask separately for each lost/abandoned item) 
[if above questions posed at household level, then add following question to capture the individual level] In whose name is the document? [List household members in relation to respondent/household head, to pick from]</t>
  </si>
  <si>
    <t xml:space="preserve">Yes, No they got lost, No never had, Don’t know, Prefer not to answer
</t>
  </si>
  <si>
    <t>4.1.2</t>
  </si>
  <si>
    <t>3.83</t>
  </si>
  <si>
    <t>% of HHs where women have equal rights or say in HLP decisions</t>
  </si>
  <si>
    <t>In your household, do women have equal rights or say in housing, land, or property decisions?</t>
  </si>
  <si>
    <t>3.84</t>
  </si>
  <si>
    <t>Livelihoods</t>
  </si>
  <si>
    <t>Access to Inputs and Services</t>
  </si>
  <si>
    <t>% of KIs by accessibility of financial services (banking, credit, savings, insurance)</t>
  </si>
  <si>
    <t>Are financial services (banking, credit, savings, insurance) accessible in the area?</t>
  </si>
  <si>
    <t>3.85</t>
  </si>
  <si>
    <t>Access to Land and Resources</t>
  </si>
  <si>
    <t>% of KIs by farmers and herders in the area with access to land/pastures</t>
  </si>
  <si>
    <t>Do farmers and herders in the area have access to land/pastures?</t>
  </si>
  <si>
    <t>3.86</t>
  </si>
  <si>
    <t>% of HHs by the type of barriers to livelihood activities</t>
  </si>
  <si>
    <t>What barriers have you faced in your livelihood activities?</t>
  </si>
  <si>
    <t>Lack of capital, Lack of training, Market access, [other contextualised choices], Other (please specify), Don't know, Prefer to not answer</t>
  </si>
  <si>
    <t>3.1.11</t>
  </si>
  <si>
    <t>Ask after "Main Livelihood and Income Sources" indicator group questions</t>
  </si>
  <si>
    <t>3.87</t>
  </si>
  <si>
    <t>% of KIs reporting farmers and herders have access to necessary inputs (fertilizer, seeds, fodder)</t>
  </si>
  <si>
    <t>Do farmers and herders have access to necessary inputs like fertilizer, seeds, fodder?</t>
  </si>
  <si>
    <t>3.88</t>
  </si>
  <si>
    <t>% of KIs by barriers to accessing these inputs</t>
  </si>
  <si>
    <t>What are the barriers to accessing these inputs?</t>
  </si>
  <si>
    <t>High cost, Unavailability, Quality concerns, [other contextualised choices], Other (please specify), Don't know, Prefer to not answer</t>
  </si>
  <si>
    <t>3.89</t>
  </si>
  <si>
    <t>Employment and Unemployment</t>
  </si>
  <si>
    <t>% of adults (18+) in the household with permanent, temporary and / or daily jobs</t>
  </si>
  <si>
    <t>What is [Name's] current work/occupation status? [ask for each member &gt;18]</t>
  </si>
  <si>
    <t xml:space="preserve">1- Employer                
2- Self-employed                
3- Paid employee                
4- Unpaid family worker                
5- Student who also works                
6- Full-time student                
7- Home maker                
8- Unemployed, looking for work (has worked previously)                        
9- Unemployed, looking for work (never worked before)                
10 - Not looking for a job                           
11- Retired / too old                
12- Disability/illness                
13- Under age                
14- Other                </t>
  </si>
  <si>
    <t>3.1.1</t>
  </si>
  <si>
    <t>3.90.1</t>
  </si>
  <si>
    <t>% of adults (18+) in the household by employment sectors</t>
  </si>
  <si>
    <t>In which employment sector do the working members of your household belong?</t>
  </si>
  <si>
    <t>Office/Clerical Work, Retail/Sales, Manufacturing/Factory Work, Agriculture/Farming, Health Services, Education/Teaching, Hospitality/Restaurant Services, Transportation/Logistics, No, Don't know, Prefer to not answer</t>
  </si>
  <si>
    <t>3.1.3</t>
  </si>
  <si>
    <t>3.90.2</t>
  </si>
  <si>
    <t>% of adults (18+) in the household by working agreement</t>
  </si>
  <si>
    <t>[If paid employee] What is her/his the working agreement?</t>
  </si>
  <si>
    <t>Informal day-to-day work agreements (verbal)
Formal day-to-day work agreements (written)
Informal longer-term work agreements (verbal)
Formal longer-term work agreement (written, 1  month+)
Short-term formal employment agreement (written, less than 1 month)
Other (Please Specify)
Prefer not to answer</t>
  </si>
  <si>
    <t>3.91</t>
  </si>
  <si>
    <t>% of children (17 and under) in the household with permanent, temporary and / or daily jobs</t>
  </si>
  <si>
    <t>How many male and female children (aged 17 and under), if any, in your household have worked in the following types of jobs in the past 30 days?</t>
  </si>
  <si>
    <t xml:space="preserve">3- Paid employee                
4- Unpaid family worker                
5- Student who also works               
7- Home maker                </t>
  </si>
  <si>
    <t>3.1.7</t>
  </si>
  <si>
    <t>3.92</t>
  </si>
  <si>
    <t>% of HHs reporting female access to work outside the home in the past month, per type of work</t>
  </si>
  <si>
    <t>Have female members of the HH accessed work outside the home in the past month? If yes, what type of work?</t>
  </si>
  <si>
    <t>1- Employer
2- Self-employed
3- Paid employee
4- Unpaid family worker
5- Student who also works
6- Full-time student
7- Home maker
8- Unemployed, looking for work (has worked previously)
9- Unemployed, looking for work (never worked before)
10 - Not looking for a job
11- Retired / too old</t>
  </si>
  <si>
    <t>3.93</t>
  </si>
  <si>
    <t>% of HHs reporting female engagement in home-based income activities in the past month, per type</t>
  </si>
  <si>
    <t>Have female members of the HHs engaged in home-based income activities in the past month? If yes, what type?</t>
  </si>
  <si>
    <t>3.94</t>
  </si>
  <si>
    <t>% of HHs reporting access to training opportunities in the last year</t>
  </si>
  <si>
    <t>Have you accessed any training opportunities in the last year?</t>
  </si>
  <si>
    <t>Technical Training, Computer/IT Training, Language Courses, Entrepreneurship/Business Training, Agricultural/Farming Techniques, Health and Safety Training, No, Don't know, Prefer to not answer</t>
  </si>
  <si>
    <t>3.95</t>
  </si>
  <si>
    <t>HH Economy</t>
  </si>
  <si>
    <t>% of HHs reporting not having enough money for food the previous month</t>
  </si>
  <si>
    <t>Did your household not have enough money for food the previous month?</t>
  </si>
  <si>
    <t>3.2.4</t>
  </si>
  <si>
    <t>To be asked only if in the three main source of food of food is purchase</t>
  </si>
  <si>
    <t>3.96.1</t>
  </si>
  <si>
    <t>Household income over the 30 days prior to data collection, by amount and % from each source</t>
  </si>
  <si>
    <t>Can you estimate your household's total income (in local currency) over the last 30 days from all sources? Please only report income received in the form of money, not items or services.</t>
  </si>
  <si>
    <t>Total income_____
Don't know
Prefer not to answer</t>
  </si>
  <si>
    <t>3.2.6</t>
  </si>
  <si>
    <t>3.96.2</t>
  </si>
  <si>
    <t>[if total income &gt; 0 (see previous indicator)] Can you estimate what percentage of your household's income over the last 30 days came from each of the following sources?</t>
  </si>
  <si>
    <t>Enter an integer (&lt;=100) for each of the following:
1. Salaried work 
2. Casual or daily labour 
3. Income from own business or regular trade
4. Income from own production (agriculture, livestock, fishing, food processing, home manufacture, etc.)
5. Government social benefits or assistance
6. Income from rent
7. Remittances 
8. Loans or support from family and friends (not including remittances) 
9. Loans, support, or charitable donations from community members (not including humanitarian assistance)
10. Humanitarian assistance
11. Other (please specify)
12. Don't know / prefer not to answer</t>
  </si>
  <si>
    <t>3.97</t>
  </si>
  <si>
    <t>Household expenditures in the 30 days prior to data collection, by amount and % per type</t>
  </si>
  <si>
    <t>During the past 30 days, how much did your household spend, in local currency, on each of the following categories of items and services for domestic consumption? For each, please estimate the total amount spent by your household using all modalities (cash, credit, mobile money, etc.).</t>
  </si>
  <si>
    <t>Enter an integer for each of the following:
1. Food items
2. Rent
3. Water (from all sources combined)
4. Non-food household items for regular purchase (hygiene items, lightbulbs, etc.)
5. Utilities (electricity or gas connections, etc.)
6. Fuel (for cooking, for vehicles, etc.)
7. Transportation (not including vehicle fuel)
8. Communications (phone airtime, Internet costs, etc.)
9. All other frequent expenditures (please specify)
10. Don't know / prefer not to answer</t>
  </si>
  <si>
    <t>3.2.5.1</t>
  </si>
  <si>
    <t>MSNA 2023 25a</t>
  </si>
  <si>
    <t>3.99 AND 3.100 MUST BE INCLUDED AS SEPARATE MODULES BUT ANALYZED TOGETHER TO PRODUCE A SINGLE MONTHLY HH EXPENDITURE PROFILE. ANALYZING THEM SEPARATELY, OR RETAINING ONLY ONE, IS NOT POSSIBLE.
Measuring household expenditures is crucial not only to the Cash Working Group--which requires detailed expenditure data broken down by category to construct and update the national Minimum Expenditure Basket--but also to the Food Security Sector, the Health Sector, and several others. For this module, a recall period of 30 days is necessary, as many expenditures are only incurred on a monthly basis. In Islamic contexts, this 30-day recall period must avoid overlapping with Ramadan if possible, as income and cashflow patterns tend to change dramatically during that month; this may affect your data collection schedule. Respondents should be verbally prompted to provide a response for EACH category; categories may be added to reflect the local context, but removing or rephrasing existing categories should be done with caution and justification. This is a complex module that poses more challenges than a standard multiple-choice question, and the enumerators should receive careful training both on how it works and how to walk respondents through the different categories.</t>
  </si>
  <si>
    <t>3.98</t>
  </si>
  <si>
    <t>Household expenditures in the 6 months prior to data collection, by amount and % per type</t>
  </si>
  <si>
    <t>During the past 6 months, how much did your household spend, in local currency, on each of the following categories of items and services for domestic consumption? For each, please estimate the total amount spent by your household using all modalities (cash, credit, mobile money, etc.).</t>
  </si>
  <si>
    <t>Enter an integer for each of the following:
1. Shelter maintenance or repair
2. Non-food household items for infrequent purchase (blankets, cooking pots, clothing, etc.)
3. Health-related expenditures (healthcare, medicine, etc.)
4. Education-related expenditures (school fees, supplies, uniforms, etc.)
5. Debt repayment
6. All other infrequent expenditures (please specify)
7. Don't know / prefer not to answer</t>
  </si>
  <si>
    <t>MSNA 2023 25b</t>
  </si>
  <si>
    <t>3.99 AND 3.100 MUST BE INCLUDED AS SEPARATE MODULES BUT ANALYZED TOGETHER TO PRODUCE A SINGLE MONTHLY HH EXPENDITURE PROFILE. ANALYZING THEM SEPARATELY, OR RETAINING ONLY ONE, IS NOT POSSIBLE.
Measuring household expenditures is crucial not only to the Cash Working Group--which requires detailed expenditure data broken down by category to construct and update the national Minimum Expenditure Basket--but also to the Food Security Sector, the Health Sector, and several others. For this module, a recall period of 6 months is necessary, as the expenditures in this list are usually incurred infrequently, which means that measuring expenditure over the previous 30 days might be misleading. Respondents should be verbally prompted to provide a response for EACH category; categories may be added to reflect the local context, but removing or rephrasing existing categories should be done with caution and justification. This is a complex module that poses more challenges than a standard multiple-choice question, and the enumerators should receive careful training both on how it works and how to walk respondents through the different categories.</t>
  </si>
  <si>
    <t>3.99</t>
  </si>
  <si>
    <t>% of HHs reporting it is difficult to save their income</t>
  </si>
  <si>
    <t>Do you find it difficult to save your income?</t>
  </si>
  <si>
    <t>3.100</t>
  </si>
  <si>
    <t>% of HH by income variation in last X months</t>
  </si>
  <si>
    <t>How has your HH income changed over the last X months?</t>
  </si>
  <si>
    <t>Increased, Decreased, More or less the same, No change at all, Don't know, Prefer to not answer</t>
  </si>
  <si>
    <t>3.101.1</t>
  </si>
  <si>
    <t>% of HHs where at least one person in household has a bank account</t>
  </si>
  <si>
    <t>Does anyone in your household have a bank account?</t>
  </si>
  <si>
    <t>1. yes
2. no
3. don't know</t>
  </si>
  <si>
    <t>3.101.2</t>
  </si>
  <si>
    <t>% of HHs where no person in the household has a bank account by obstacles to getting one</t>
  </si>
  <si>
    <t>[If no bank account] What is the main reason for not having a bank account?</t>
  </si>
  <si>
    <t>1. Do not need a bank account
2. Do not have the required documentation to open an account
3. Have no physical access to a bank/ there is no bank close enough
4. Do not trust the banks 
5. The bank will not accept me as a customer for other reasons</t>
  </si>
  <si>
    <t>3.3.5</t>
  </si>
  <si>
    <t>3.102</t>
  </si>
  <si>
    <t>Main Livelihood and Income Sources</t>
  </si>
  <si>
    <t>% of HHs by main source of income pre- crisis/displacement</t>
  </si>
  <si>
    <t>What was your main source of income before the crisis/displacement?</t>
  </si>
  <si>
    <t>Employment, Business, Agriculture, Gifts, Aid, [other contextualised choices], Other (please specify), Don't know, Prefer to not answer</t>
  </si>
  <si>
    <t>3.2.2</t>
  </si>
  <si>
    <t>relevant if livelihood activity is climate-sensitive</t>
  </si>
  <si>
    <t>3.103</t>
  </si>
  <si>
    <t>% of HHs by main source of income</t>
  </si>
  <si>
    <t>What is your HH main source of income currently?</t>
  </si>
  <si>
    <t>3.104</t>
  </si>
  <si>
    <t>% of HHs by type of financial service providers they have access to</t>
  </si>
  <si>
    <t>What types of financial service providers does your household have access to in your immediate area?
NOTE: Financial service providers are businesses or individuals that give people the opportunity to manage their money by offering savings programs, mobile wallets, loans, credit, money transfer services, etc.</t>
  </si>
  <si>
    <t>1. Banks
2. Mobile money agents
3. Formal money transfer services (Western Union, etc.)
4. Hawala agents
5. Microfinance institutions (MFIs)
6. Village banks/Village Savings and Loan Associations (VSLAs)
7. Credit unions/Savings and Credit Cooperative Organisations (SACCOs)
8. Informal member-run savings groups (ROSCAs, ASCAs, etc.)
9. Financial services provided by local businesses (e.g., petrol stations, supermarkets, or others)
10. Financial services provided by members of the community
11. Other (please specify)
12. Don't know
13. Prefer not to answer</t>
  </si>
  <si>
    <t>3.105</t>
  </si>
  <si>
    <t>% of HHs owning livestock</t>
  </si>
  <si>
    <t>Does your household own any livestock or farm animals (even if they are not near your home or compound now)?</t>
  </si>
  <si>
    <t>3.3.3.1</t>
  </si>
  <si>
    <t>relevant for drought and flood if the only livelihood income source</t>
  </si>
  <si>
    <t>3.106</t>
  </si>
  <si>
    <t>% of HHs having lost livestock in the X months prior to data collection, by reason</t>
  </si>
  <si>
    <t>How has the number of livestock your household owns changed in the past X months?</t>
  </si>
  <si>
    <t>1 = Large increase; 2 = Minor increase; 3 = No change; 4 = Minor decrease; 5 =  Large decrease; 6 = Don't know; 7 = Prefer not to answer</t>
  </si>
  <si>
    <t>3.107</t>
  </si>
  <si>
    <t>Has your household lost any livestock in the X months prior to data collection? If yes, why?</t>
  </si>
  <si>
    <t>[Add contexulized options if needed], Armed groups, Intercommunal raiding, Disease outbreak, Sale or slaughter, Lost in migration, Flooding, Drought, Lack of water, Lack of fodder, Lack of extension/vet services, Legal or court-ordered payments and fines, Bride wealth payment, Supporting other community members or family, Other (specify), Don't know, Prefer not to answer</t>
  </si>
  <si>
    <t>3.108</t>
  </si>
  <si>
    <t>% of HHs by next harvest expectations</t>
  </si>
  <si>
    <t>How do you expect your harvest to be compared to the previous harvest (same season)?</t>
  </si>
  <si>
    <t>1 = Large increase; 2 = Increase; 3 = About the same; 4 = Decrease; 5 =  Large decrease; 6 = Don't know; 7 = Prefer not to answer</t>
  </si>
  <si>
    <t>3.109.1</t>
  </si>
  <si>
    <t>% of HHs planting the next season</t>
  </si>
  <si>
    <t>Is your household planting this season?</t>
  </si>
  <si>
    <t>1 = Yes, same area as last season; 2 = Yes, decreased area compared to last season; 3 = Yes, increased area compared to last season; 4 = No; 5 = Don't know; 6 = Prefer not to answer</t>
  </si>
  <si>
    <t>3.109.2</t>
  </si>
  <si>
    <t>% of HHs not planting the next season, by reason</t>
  </si>
  <si>
    <t>If you won't be planting for the next season, why?</t>
  </si>
  <si>
    <t>Lack of seeds, Lack of capital, Climate concerns, [other contextualised choices], Other (please specify), Don't know, Prefer to not answer</t>
  </si>
  <si>
    <t>3.110</t>
  </si>
  <si>
    <t>Skill Development</t>
  </si>
  <si>
    <t>% of KIs by types of training that should be provided in the area</t>
  </si>
  <si>
    <t>What types of training should be provided in the area?</t>
  </si>
  <si>
    <t>Technical skills, Entrepreneurship, Agriculture, [other contextualised choices], Other (please specify), Don't know, Prefer to not answer</t>
  </si>
  <si>
    <t>3.111</t>
  </si>
  <si>
    <t>Market</t>
  </si>
  <si>
    <t>% of HHs reporting concerns about lack of safety and/or insecurity in marketplaces over the last X days/months</t>
  </si>
  <si>
    <t>Over the last X days/months, have any of the following security factors had a negative impact on your access to the market?</t>
  </si>
  <si>
    <t>No issues with security in or near the marketplace
Curfews
Fear of violence
Fear of harassment
Fear of looting
Fear of robbery
Danger associated with roads to marketplace
Danger associated with marketplace buildings
Other (please specify)
Prefer not to answer</t>
  </si>
  <si>
    <t>3.112.1</t>
  </si>
  <si>
    <t>% of HHs regularly meeting their needs in the market</t>
  </si>
  <si>
    <t>Is your household able to regularly meet its needs in the market?</t>
  </si>
  <si>
    <t>3.112.2</t>
  </si>
  <si>
    <t>% of HHs not or partially meeting their needs in the market, by reason</t>
  </si>
  <si>
    <t>If you are not able to meet your needs or only partially meet them in the market, what is the reason?</t>
  </si>
  <si>
    <t xml:space="preserve">Insufficient funds, Lack of desired products, Distance to market, Security concerns, Health issues, [expand the list according to the context], Other (please specify), Prefer to not answer, </t>
  </si>
  <si>
    <t>3.113</t>
  </si>
  <si>
    <t>% of HHs by the average number of market visits a month</t>
  </si>
  <si>
    <t>On average, how many times does your household visit the market in a month?</t>
  </si>
  <si>
    <t>3.3.4</t>
  </si>
  <si>
    <t>3.114</t>
  </si>
  <si>
    <t>Barriers in Access</t>
  </si>
  <si>
    <t>% of HHs reporting having faced physical barriers to accessing marketplaces over the last X days/months</t>
  </si>
  <si>
    <t>Over the last X days/months, have there been problems that prevented your household to shop at the usual marketplace?</t>
  </si>
  <si>
    <t>No issues with physical access to the marketplace
Curfew or movement restrictions
Ongoing / active fighting in the area
Inadequate facilities make it difficult for businesses to operate
Hazardous, damaged, or unsafe buildings in the marketplace
Hazards or damage on roads leading to the marketplace
Limited transportation options / lack of transportation
Vendors are difficult to access for people with disabilities or mobility issues
Marketplace is too far from the people who need it
Marketplace only operates at limited times
Customers do not feel safe around some people in the marketplace
Other (please specify)
Don't know
Prefer not to answer</t>
  </si>
  <si>
    <t>3.115</t>
  </si>
  <si>
    <t>% of HHs reporting that having faced social barriers to accessing marketplaces over the last X days/months</t>
  </si>
  <si>
    <t>Over the last X days/months, have your HH members sometimes avoided coming to the usual marketplace due to discrimination, exclusion, or feeling unwelcome?</t>
  </si>
  <si>
    <t>Yes, On the way to the market, Yes, Within the market, Yes, Both on the way and within the market, No, Don't Know, Prefer Not to Answer</t>
  </si>
  <si>
    <t>3.116</t>
  </si>
  <si>
    <t>% of HHs reporting that having faced economical barriers to accessing marketplaces over the last X days/months</t>
  </si>
  <si>
    <t>Do your HH face any financial challenges in travelling to you or in paying for the goods they need?</t>
  </si>
  <si>
    <t>I have no issues with financial access
I cannot afford the items available
I cannot pay for items in a way vendors can accept (f. ex. not enough cash, no mobile money account, etc.)
Public transportation is too expensive
Fuel is too expensive
Other (please specify)
Don't know
Prefer not to answer</t>
  </si>
  <si>
    <t>3.117</t>
  </si>
  <si>
    <t>% of HHs, per barrier to accessing marketplace or grocery store to buy food or non-food items</t>
  </si>
  <si>
    <t>What barriers does households face when accessing marketplaces or grocery stores to buy food or non-food items?</t>
  </si>
  <si>
    <t>Distance to market, High prices, Lack of transportation, Security concerns, Discrimination or bias, [[Other contextualized choices]], None, Don't Know, Prefer Not to Answer</t>
  </si>
  <si>
    <t>3.118</t>
  </si>
  <si>
    <t>% of female respondents without independent access to marketplace or grocery store to buy food or non-food items</t>
  </si>
  <si>
    <t>Do female members in the household have independent access to the marketplace or grocery store to buy food or non-food items?</t>
  </si>
  <si>
    <t>3.119</t>
  </si>
  <si>
    <t>HH economy</t>
  </si>
  <si>
    <t>% of HHs using credit or borrowing money to purchase essential goods in the market</t>
  </si>
  <si>
    <t>In the past month, did your household use credit or borrow money to purchase essential goods in the market?</t>
  </si>
  <si>
    <t>3.120</t>
  </si>
  <si>
    <t>Location of Infrastructures</t>
  </si>
  <si>
    <t>% of HHs, per by time of travel to nearest marketplace or grocery store with food and non-food items</t>
  </si>
  <si>
    <t>How long does it take you to travel to the nearest marketplace or grocery store with food and non-food items?</t>
  </si>
  <si>
    <t>Less than 15 mins, 15-30 mins, 31-60 mins, More than 60 mins, Don't Know, Prefer Not to Answer</t>
  </si>
  <si>
    <t>3.121</t>
  </si>
  <si>
    <t>% of households by means of transport used to reach the nearest market or grocery shop with food and non-food items</t>
  </si>
  <si>
    <t>What means of travel do you use to reach the nearest marketplace or grocery store with food and non-food items?</t>
  </si>
  <si>
    <t>Walking, Bicycle, Motorcycle, Car, Public Transport, [Other contextualized choices], Don't Know, Prefer Not to Answer</t>
  </si>
  <si>
    <t>3.122</t>
  </si>
  <si>
    <t>Market Information</t>
  </si>
  <si>
    <t>Main sources of information about prices, product availability, or market days for households</t>
  </si>
  <si>
    <t>What are your main sources of information about prices, product availability, or market days?</t>
  </si>
  <si>
    <t>Word of mouth, Radio, TV, Internet, Community meetings, [Other contextualized choices], Don't Know, Prefer Not to Answer</t>
  </si>
  <si>
    <t>3.123</t>
  </si>
  <si>
    <t>% of HH by reported categories of items/commodities/assets needed from local market</t>
  </si>
  <si>
    <t>Are there any key household items that you regularly need to travel out of your local area in order to purchase?</t>
  </si>
  <si>
    <t>Food, Clothing, Electronics, Household items, [Other contextualized choices], Don't Know, Prefer Not to Answer</t>
  </si>
  <si>
    <t>3.124</t>
  </si>
  <si>
    <t>Top 3 essential or preferred items households are not buying due to various barriers</t>
  </si>
  <si>
    <t>Which essential or preferred items are you not buying due to encountered barriers?</t>
  </si>
  <si>
    <t>[List of items], [Other contextualized choices], Don't Know, Prefer Not to Answer</t>
  </si>
  <si>
    <t>3.125</t>
  </si>
  <si>
    <t>Safety and Security</t>
  </si>
  <si>
    <t>% of HHs feeling unsafe when visiting the market, by reason</t>
  </si>
  <si>
    <t>Do you feel unsafe when visiting the market? If yes, why?</t>
  </si>
  <si>
    <t>Crime/Theft, Harassment, Poor lighting, Overcrowding, Gang presence, Political unrest, Discrimination, Other contextualized choices, Don't Know, Prefer Not to Answer</t>
  </si>
  <si>
    <t>3.126.1</t>
  </si>
  <si>
    <t>NFI</t>
  </si>
  <si>
    <t>% of HHs reporting loss of access to vital Household NFIs in the last X months</t>
  </si>
  <si>
    <t>In the last X months, have you lost access to any vital household non-food items (NFIs)?</t>
  </si>
  <si>
    <t>3.126.2</t>
  </si>
  <si>
    <t>% of HHs with sufficient core NFI</t>
  </si>
  <si>
    <t>Do you have sufficient bedding materials (e.g., blankets, mattresses)?</t>
  </si>
  <si>
    <t>3.126.3</t>
  </si>
  <si>
    <t>Do you have sufficient cooking utensils (e.g., pots, pans)?</t>
  </si>
  <si>
    <t>3.126.4</t>
  </si>
  <si>
    <t>Do you have sufficient clothing for all household members?</t>
  </si>
  <si>
    <t>3.126.5</t>
  </si>
  <si>
    <t>Do you have sufficient hygiene items (e.g., soap, sanitary pads)?</t>
  </si>
  <si>
    <t>3.126.6</t>
  </si>
  <si>
    <t>Do you have sufficient lighting sources (e.g., torches, lanterns)?</t>
  </si>
  <si>
    <t>3.126.7</t>
  </si>
  <si>
    <t>Do you have sufficient tools or items for shelter (e.g., tarpaulins, ropes)?</t>
  </si>
  <si>
    <t>3.127.1</t>
  </si>
  <si>
    <t>Child labor</t>
  </si>
  <si>
    <t>% boys/girl engaged in child work</t>
  </si>
  <si>
    <t>In the last week, how many children between 5 to 17 in your HH engaged in any type of activities to support the household, such as helping in a family business, selling or repairing things, help on the family plot (*), catching fish or animals (*), intensive domestic chores, or any other activity in return for income in cash or in-kind?</t>
  </si>
  <si>
    <t>(Enter an integer in each of the following gender group if none then enter 0):
boys ____
girls ____</t>
  </si>
  <si>
    <t>3.127.2</t>
  </si>
  <si>
    <t>% boys/girl engaged in child labour</t>
  </si>
  <si>
    <t>[IF AT LEAST 1 CHILD REPORTED IN 1] 
How many of them:
EITHER
Performed these activities for a long hour? 
OR
Performed activities that, from your point of view, are dangerous to their physical or emotional health, or interferes with their schooling? 
[Hint for enumerators: 
“Long hour” would be: 
For children aged 5-1: at least 1 hour per week.
For children aged 12-14: at least 14 hours a week. 
For older children: at least 41 hours per week.
Examples of dangerous activities:
working long hours doing agriculture work, working with heavy machinery or tools, with heavy loads, working in dangerous conditions in factories or mines, working on fishing boats or working at night]</t>
  </si>
  <si>
    <t>(Enter an integer in each of the following gender groups if none then enter 0):
boys ____
girls ____</t>
  </si>
  <si>
    <t>3.128</t>
  </si>
  <si>
    <t>Child marriage</t>
  </si>
  <si>
    <t>% of boys/girls in early marriage, at the time of data collection</t>
  </si>
  <si>
    <t>What is the civil status of [child_name]?</t>
  </si>
  <si>
    <t>Single
Married 
Divorced 
Widowed
Other (specify)
Don't know
Prefer not to answer</t>
  </si>
  <si>
    <t>3.129</t>
  </si>
  <si>
    <t>Documentation</t>
  </si>
  <si>
    <t>% of HHs with at least one household member without an ID document</t>
  </si>
  <si>
    <t>Does every person in your household have an ID document (national ID and/or passport)? This means it is currently accessible to you, it is valid, and stored in a secured place?</t>
  </si>
  <si>
    <t>Yes: Every person in the household has a valid ID document; 
No: At least one person in the household does not have a valid ID document;
No: No one in the household has a valid ID document
Do not know 
Prefer not to answer</t>
  </si>
  <si>
    <t>5.1.1</t>
  </si>
  <si>
    <t>3.130</t>
  </si>
  <si>
    <t>Target population with other personal documentation necessary for accessing their rights</t>
  </si>
  <si>
    <t>Addressed by first question on documentation, as all relevant documents to context will be listed there</t>
  </si>
  <si>
    <t>5.1.2</t>
  </si>
  <si>
    <t>3.131</t>
  </si>
  <si>
    <t>Target population with no personal identification document by main reason</t>
  </si>
  <si>
    <t>What is the main obstacle in obtaining new or replacing old documentation?</t>
  </si>
  <si>
    <t>Lack of knowledge of registration and documentation process
There is no office to obtain new documents in this area
Can only access documentation in place of origin/registration
Lack of time to go to the authorities to obtain new documents
Need to prove some form of
identity to replace old documents
The process takes a long time and repeated visits
Need connections to get the work done
other specify
Don't know
Prefer to not answer</t>
  </si>
  <si>
    <t>5.2.1</t>
  </si>
  <si>
    <t>3.132</t>
  </si>
  <si>
    <t>Target population that have not been able to replace their personal or other documentation by main obstacle(s) to replacement (% of target population who lost their personal or other documentation because of displacement)</t>
  </si>
  <si>
    <t>1. Lack of knowledge of registration and documentation process
2. There is no office to obtain new documents in this area
3. Can only access documentation in place of origin/registration
4. Lack of time to go to the authorities to obtain new documents
5. Need to prove some form of
6. identity to replace old documents
7. The process takes a long time and repeated visits
8. Need connections to get the work done</t>
  </si>
  <si>
    <t>5.2.2</t>
  </si>
  <si>
    <t>3.133.1</t>
  </si>
  <si>
    <t>Family reunification</t>
  </si>
  <si>
    <t>% of HHs with at least one child (&lt;18) not residing in the household</t>
  </si>
  <si>
    <t>Does your household have any child, son or daughter (&lt;18 years) not currently living in the household?</t>
  </si>
  <si>
    <t>6.1.3</t>
  </si>
  <si>
    <t>3.133.2</t>
  </si>
  <si>
    <t>% of HHs with at least one child (&lt;18) not residing in the household, by number of separated children</t>
  </si>
  <si>
    <t>[if any separated children] If yes, how many?</t>
  </si>
  <si>
    <t>Integer</t>
  </si>
  <si>
    <t>3.133.3</t>
  </si>
  <si>
    <t>% of HHs with at least one child (&lt;18) not residing in the household, by reason</t>
  </si>
  <si>
    <t>[if any separated children] What are the reason(s) for why your children/child are/is not living in the household?</t>
  </si>
  <si>
    <t>Married and left the house 
Left the house to seek employment 
Left the house to study 
Left the house to engage with the army or armed groups 
Kidnapped/abducted 
Missing (left and no news) 
Arbitrarily detained
Other (specify)
Don't know
Prefer not to answer</t>
  </si>
  <si>
    <t>6.1.2</t>
  </si>
  <si>
    <t>3.134</t>
  </si>
  <si>
    <t>Target population with household members separated with access to services for family reunification</t>
  </si>
  <si>
    <t>Have you had access to mechanisms to facilitate family reunification?</t>
  </si>
  <si>
    <t>Yes
No
Prefer not to answer</t>
  </si>
  <si>
    <t>6.1.4</t>
  </si>
  <si>
    <t>3.135</t>
  </si>
  <si>
    <t>% of HHs reporting awareness of specialized support services for women or girls available in their community</t>
  </si>
  <si>
    <t>Are the following services available in your community?</t>
  </si>
  <si>
    <t xml:space="preserve">Psychosocial support for women and girls (how to seek help when under distress?)
Recreational activities organized for women and girls 
Reproductive health services for women and girls
Services offer for women and girls if they experience some form of violence
None of the above
Don't know
Prefer not to answer
</t>
  </si>
  <si>
    <t>3.136</t>
  </si>
  <si>
    <t>% of HHs unaware of available support services for people with disabilities</t>
  </si>
  <si>
    <t>Are you aware of any support services or resources available for people with disabilities in your community?</t>
  </si>
  <si>
    <t>3.137</t>
  </si>
  <si>
    <t>Movement restrictions</t>
  </si>
  <si>
    <t>% of HHs having experienced movement restrictions in the X months prior to data collection, by type of restriction</t>
  </si>
  <si>
    <t>In the past X months, have you or anyone in your household experienced any movement restrictions such as impediments to freedom of movement and/or administrative restrictions such as roadblocks, checkpoints, siege or forced displacement? If yes, please describe the type of restrictions that were encountered.</t>
  </si>
  <si>
    <t>1.4.2</t>
  </si>
  <si>
    <t>3.138</t>
  </si>
  <si>
    <t>Perceived safety and security</t>
  </si>
  <si>
    <t>% of HHs reporting areas in their location that women and girls avoid due to feeling unsafe</t>
  </si>
  <si>
    <t>Are there any areas in your location that women and girls avoid because they feel unsafe? If yes, what areas (or places) do women and girls in your community avoid or feel unsafe about?</t>
  </si>
  <si>
    <t xml:space="preserve">There are no areas that women and girls avoid because they feel unsafe
Latrines and bathing facilities
Markets
Distribution areas
Water points                                                               
Social/community areas 
On their way to school                         
On their way to women community centers/health centers
In their homes
In  public transportation
In the way to collect firewood
Other (specify)
Don't know
Decline to answer
</t>
  </si>
  <si>
    <t>1.1.4</t>
  </si>
  <si>
    <t>3.139</t>
  </si>
  <si>
    <t>% of HHs not feeling safe from harm and violence, by perceived threat</t>
  </si>
  <si>
    <t>Do you or any members of your household feel unsafe due to any specific threats or reasons in your community?</t>
  </si>
  <si>
    <t>1.1.1</t>
  </si>
  <si>
    <t>3.140</t>
  </si>
  <si>
    <t>% of HHs needing assistance for safety, conflict resolution</t>
  </si>
  <si>
    <t>Have you or your household members ever needed assistance for safety concerns or conflict resolution in your community?</t>
  </si>
  <si>
    <t>3.141.1</t>
  </si>
  <si>
    <t>% of HHs with boys reporting types of safety or security concerns for boys in the area</t>
  </si>
  <si>
    <t>[if boys in the household] What do you think are the main safety and security concerns for boys in this area?
NOTE: Do not read the list.</t>
  </si>
  <si>
    <t>None
Being robbed
Being threatened with violence
Being kidnapped 
Suffering from physical harassment or violence (not sexual) 
Suffering from verbal harassment 
Suffering from sexual harassment or violence
Discrimination or persecution (because of ethnicity, status, etc.)
Being killed
Mine/UXOs
Being detained
Being exploited (i.e. being engaged in harmful forms of labor for economic gain of the exploiter)
Being recruited by armed groups
Being forcibly married
Being injured/killed by an explosive hazard
Being sent abroad to find work
Other (please specify)
Don't know
Prefer not to answer</t>
  </si>
  <si>
    <t>1.1.3</t>
  </si>
  <si>
    <t>3.141.2</t>
  </si>
  <si>
    <t>% of HHs with girls reporting types of safety or security concerns for girls in the area</t>
  </si>
  <si>
    <t>[if girls in the household] What do you think are the main safety and security concerns for girls in this area?
NOTE: Do not read the list.</t>
  </si>
  <si>
    <t>None
Being robbed
Being threatened with violence
Being kidnapped 
Suffering from physical harassment or violence (not sexual) 
Suffering from verbal harassment 
Suffering from sexual harassment or violence
Discrimination or persecution (because of ethnicity, status, etc.)
Being killed
Mine/UXOs
Being detained
Being exploited (i.e. being engaged in harmful forms of labor for economic gain of the exploiter)
Being recruited by armed groups
Being forcibly married
Being injured/killed by an explosive hazard
Being sent abroad to find work
Female Genital Mutilation (FGM)
Other (please specify)
Don't know
Prefer not to answer</t>
  </si>
  <si>
    <t>3.141.3</t>
  </si>
  <si>
    <t>% of HHs with women reporting types of safety or security concerns for women in the area</t>
  </si>
  <si>
    <t>[if women in the household] What do you think are the main safety and security concerns for women in this area?
NOTE: Do not read the list.</t>
  </si>
  <si>
    <t>1.2.1</t>
  </si>
  <si>
    <t>3.141.4</t>
  </si>
  <si>
    <t>% of HHs with men reporting types of safety or security concerns for men in the area</t>
  </si>
  <si>
    <t>[if men in the household] What do you think are the main safety and security concerns for men in this area?
NOTE: Do not read the list.</t>
  </si>
  <si>
    <t>3.141.5</t>
  </si>
  <si>
    <t>% of HHs with member with disabilities reporting types of safety or security concerns for people with disabilities in the area</t>
  </si>
  <si>
    <t>[if peoeple with disabilities in the household] What do you think are the main safety and security concerns for people with disabilities in this area?
NOTE: Do not read the list.</t>
  </si>
  <si>
    <t>3.142</t>
  </si>
  <si>
    <t>% of HHs having been affected by explosive ordnance in the X months prior to data collection</t>
  </si>
  <si>
    <t>Has your household been affected by explosive ordnance (e.g. landmines, bombs, missiles, IEDs, bullets or other explosive weapons from conflict) in the last X months? If yes, how?</t>
  </si>
  <si>
    <t>No, the household has not been affected by the presence of explosive ordnance
Yes, the presence of explosive ordnance has affected livelihoods opportunities
Yes, the presence of explosive ordnance has affected the ability of children to go to school
Yes, the presence of explosive ordnance has affected access to markets
Yes, the presence of explosive ordnance has affected access to health centers
Yes, the presence of explosive ordnance has affected freedom of movement
Yes, at least one household member has been injured or killed by an explosive ordnance 
Other (specify)
Don't know
Prefer not to answer</t>
  </si>
  <si>
    <t>1.2.2</t>
  </si>
  <si>
    <t>3.143</t>
  </si>
  <si>
    <t>Sanitation and Hygiene</t>
  </si>
  <si>
    <t>% of HHs with access to functioning handwashing facilities - by type of device</t>
  </si>
  <si>
    <t>What kind of handwashing device do your household members usually use to wash their hands? (Ask to see the handwashing device)</t>
  </si>
  <si>
    <t>"☐ No specific handwashing device (no device at all or only pouring device or simple basin/bucket,  with no taps)
☐ Sink with tap water
☐ Buckets with taps
☐ Tippy tap
☐ Other (specify)
☐ Don't know"</t>
  </si>
  <si>
    <t>2.1.4.3</t>
  </si>
  <si>
    <t>MSNA 2022</t>
  </si>
  <si>
    <t>3.144</t>
  </si>
  <si>
    <t>% of HHs practicing open defecation</t>
  </si>
  <si>
    <t>In the absence of a toilet or latrine, which of the following places might members of your community typically use?</t>
  </si>
  <si>
    <t>Field/farm, Forest/bush, River/stream, Other contextualized choices, None of the above, Don't Know, Prefer Not to Answer</t>
  </si>
  <si>
    <t>3.145</t>
  </si>
  <si>
    <t>In the past week, have there been times when members of your household did not use a toilet or latrine?</t>
  </si>
  <si>
    <t>Yes, No, Sometimes, Don't Know, Prefer Not to Answer</t>
  </si>
  <si>
    <t>3.146</t>
  </si>
  <si>
    <t>What are the reasons for not always using a toilet or latrine?</t>
  </si>
  <si>
    <t>No access to facilities, Facilities are unclean, Facilities are unsafe, Cultural or personal preference, Other contextualized choices, Don't Know, Prefer Not to Answer</t>
  </si>
  <si>
    <t>3.147</t>
  </si>
  <si>
    <t>% of HHs with access to functioning sanitation facilities, by location</t>
  </si>
  <si>
    <t>Where is the nearest sanitation facility that your household uses located?</t>
  </si>
  <si>
    <t>Within household premises, Outside but within the compound, Nearby community facility, Far from the house, Other contextualized choices, Don't Know, Prefer Not to Answer</t>
  </si>
  <si>
    <t>3.148</t>
  </si>
  <si>
    <t>% of HHs with access to functioning sanitation facilities, by travel time</t>
  </si>
  <si>
    <t>How long does it typically take to reach the nearest sanitation facility from your home?</t>
  </si>
  <si>
    <t>Less than 5 minutes, 5-15 minutes, 15-30 minutes, More than 30 minutes, Don't Know, Prefer Not to Answer</t>
  </si>
  <si>
    <t>3.149</t>
  </si>
  <si>
    <t>% of households with access to functioning sanitation facilities
% of households using a sanitation facility, by type of sanitation facility used (S1)</t>
  </si>
  <si>
    <t>What kind of toilet facility do members of your household usually use?</t>
  </si>
  <si>
    <t>Flush to piped sewer system 
Flush to septic tank 
Flush to pit latrine 
Flush to open drain 
Flush to elsewhere 
Flush to don’t know where 
Pit latrine with slab 
Pit latrine without slab / open pit 
Composting toilet
Plastic Bag 
Bucket 
Hanging toilet/hanging latrine 
No facility/bush/field 
Other (specify)
[Optional (include based on context):
Ventilated improved pit latrine (with slab) 
Twin pit latrine with slab 
Container based sanitation]</t>
  </si>
  <si>
    <t>2.1.4.1</t>
  </si>
  <si>
    <t>3.150</t>
  </si>
  <si>
    <t>% of households with access to functioning sanitation facilities
% of households sharing their sanitation facility, by number of households per sanitation facility (S2)</t>
  </si>
  <si>
    <t>1) Do you share this facility with others who are not members of your household?
2) If yes, how many households in total use this toilet facility, including your own household?</t>
  </si>
  <si>
    <t>1) Yes; No; Don’t know 
2) If yes,  
# of HH_____; OR Don’t know</t>
  </si>
  <si>
    <t>2.1.4.2</t>
  </si>
  <si>
    <t>3.151</t>
  </si>
  <si>
    <t>% of households with access to functioning sanitation facilities
% of households having an outlet pipe for liquid effluent (S3)</t>
  </si>
  <si>
    <t>[if sanitation facility (indicator 3.151) is: Flush to septic tank; Flush to pit latrine;  Twin pit latrine with slab; Other]
1) Does your septic tank or pit latrine have an outlet pipe for liquid effluent?
2) If it has an outlet pipe for liquid effluent, where does this pipe discharge?</t>
  </si>
  <si>
    <t>1) 
Yes
No (includes those infiltrating underground from the base or sides of the tank or pit)
Don’t know
2) If yes, to where does it discharge
To a leach field, soak pit
To a sewer/closed drain that leads to a wastewater treatment plant (WWTP)
To a sewer/closed drain that leads to a waterbody (not connected to WWTP)
To a sewer/closed drain that leads to don’t know where
To an open drain
To a waterbody/surface
Other (specify)
Don’t know</t>
  </si>
  <si>
    <t>3.152</t>
  </si>
  <si>
    <t>% of households with access to functioning sanitation facilities
% of households having pit latrine/septic tank emptied (S4)</t>
  </si>
  <si>
    <t>[If sanitation facility (indicator 3.151) is: Flush to septic tank; Flush to pit latrine; Pit latrine with slab; Pit latrine without slab / open pit; Composting toilet; Ventilated improved pit latrine (with slab); Twin pit latrine with slab; Container based sanitation]
1) Has your (pit latrine or septic tank) ever been emptied?
2) [if ever emptied] Who emptied the containment?
3) [if ever emptied] The last time it was emptied, where were
the contents emptied to?</t>
  </si>
  <si>
    <t>1) Yes emptied; 
Never emptied
Not emptied but covered and left undisturbed when full;
Don’t know
2) 
Public/municipality/government
Private company/NGO
Informal emptier (e.g. unlicensed)
Self emptied
Neighbour, family member, friend
Other (specify)
Don’t know
3)
Removed off-site (to treatment / unknown)
Removed to a waterbody, open ground, field or elsewhere
Buried in a covered pit at or near household (in-situ)
Buried in a covered pit/trench elsewhere (off-site)
Buried in an uncovered pit
Other (specify)
Don’t know</t>
  </si>
  <si>
    <t>3.153</t>
  </si>
  <si>
    <t>% of households with access to functioning handwashing facilities, by type of device (observed)</t>
  </si>
  <si>
    <t>1) Can you please show me where members of your household most often wash their hands?
2) Observe availability of water at the place for handwashing.
3) Observe availability of soap or detergent at the place for handwashing.</t>
  </si>
  <si>
    <t>1) 
Fixed or mobile handwashing place in dwelling/yard/plot 
No handwashing place in dwelling/yard/plot 
No permission to see 
Other reason (specify)
2)
Water is available 
Water is not available
3)
Soap or detergent available 
Soap or detergent not available
(Insert other common products for the context, e.g. Ash / Mud / Sand)</t>
  </si>
  <si>
    <t>3.154</t>
  </si>
  <si>
    <t xml:space="preserve">% of households having had access to a sanitation facility safe for all members to use
</t>
  </si>
  <si>
    <t>Does your household have access to a sanitation facility with the following features:</t>
  </si>
  <si>
    <t>Door
Walls that protect privacy
Lock to close door
Inside light
Outside light
Marked separated facilities between women and men (for shared or communal facilities)
Close to dwelling (less than 50m)
None ove the above
Don't know
Prefer not to answer</t>
  </si>
  <si>
    <t>3.155</t>
  </si>
  <si>
    <t>Availability</t>
  </si>
  <si>
    <t>% of KIs by availability of public toilets</t>
  </si>
  <si>
    <t>Are there public toilets available in the area?</t>
  </si>
  <si>
    <t>3.156</t>
  </si>
  <si>
    <t>% of KIs reporting on the cleanliness and maintenance of public toilets</t>
  </si>
  <si>
    <t>How would you rate the cleanliness and maintenance of public toilets?</t>
  </si>
  <si>
    <t>Very clean, Moderately clean, Not clean, Don't Know, Prefer Not to Answer</t>
  </si>
  <si>
    <t>3.157</t>
  </si>
  <si>
    <t>% of KIs by frequency of cleaning and maintenance of public toilets</t>
  </si>
  <si>
    <t>How frequently are public toilets cleaned and maintained?</t>
  </si>
  <si>
    <t>Daily, Weekly, Monthly, Rarely, Don't Know, Prefer Not to Answer</t>
  </si>
  <si>
    <t>3.158</t>
  </si>
  <si>
    <t>% of KIs by type of facilities available within public toilets (eg, handwashing stations, menstrual hygiene facilities)</t>
  </si>
  <si>
    <t>What facilities are available within public toilets?</t>
  </si>
  <si>
    <t>Handwashing stations, Menstrual hygiene facilities, Disabled access, Baby changing facilities, Other contextualized choices, Don't Know, Prefer Not to Answer</t>
  </si>
  <si>
    <t>3.159</t>
  </si>
  <si>
    <t>% of KIs by reported safety and security measures in place for public toilets (concerning gender, age)</t>
  </si>
  <si>
    <t>Are there safety and security measures in place for public toilets?</t>
  </si>
  <si>
    <t>Separate facilities for different genders, Lighting, Security personnel, Lockable doors, Other contextualized choices, Don't Know, Prefer Not to Answer</t>
  </si>
  <si>
    <t>3.160</t>
  </si>
  <si>
    <t>% of HHs having problems related to hygiene NFI access - by type of problem</t>
  </si>
  <si>
    <t xml:space="preserve">Does your household have problems related to hygiene items (soap, feminine hygiene products, baby diapers, toothpaste/brush)?  If yes, which ones? </t>
  </si>
  <si>
    <t>"1) ☐ Yes; ☐ No; ☐ Don’t know 
2) If yes, which ones? 
☐ Soap and other hygiene items are too expensive; ☐ Soap and other hygiene items are not available at the market; ☐ The market is too far away; ☐ The market is difficult to reach (especially for people with disabilities); ☐  Going to the market is dangerous ; ☐ Some groups do not have access to the market; ☐ Don’t like quality of soap and other hygiene items; ☐ Other (specify) ; ☐ Don't know"</t>
  </si>
  <si>
    <t>2.1.5</t>
  </si>
  <si>
    <t>3.161</t>
  </si>
  <si>
    <t>% of HHs having had problems related to sanitation facility access, by type of problem</t>
  </si>
  <si>
    <t>Does your household have problems related to sanitation facilities (latrines/toilets)? If yes, which ones?</t>
  </si>
  <si>
    <t>No problem
Lack of sanitation facilities (latrines/toilets) / facilities too crowded
Sanitation facilities (latrines/toilets) are not functioning or full
Sanitation facilities (latrines/toilets) are unclean/unhygienic
Sanitation facilities (latrines/toilets) are not private (no locks/door/walls/lighting etc.)
Sanitation facilities (latrines/toilets) are not segregated between men and women
Sanitation facilities (latrines/toilets) are too far
Sanitation facilities (latrines/toilets) are difficult to reach (especially for people with disabilities)
Going to the sanitation facilities (latrines/toilets) is dangerous
Some groups (children, women, elderly, ethnic minorities, etc.) do not have access to sanitation facilities (latrines/toilets)
Persons with physical and/or sensory disabilities do not have access to sanitation facilities (latrines/toilets)
Other (specify)
Don't know
Prefer not to answer</t>
  </si>
  <si>
    <t>3.162</t>
  </si>
  <si>
    <t>% of HHs reporting gender-related to sanitation facility access, by type of problem</t>
  </si>
  <si>
    <t>Have any members of your household faced gender-related problems accessing sanitation facilities? If yes, what type of problem?</t>
  </si>
  <si>
    <t>Women feeling unsafe at night, Lack of separate facilities for men and women, Cultural norms preventing women from using certain facilities, Other contextualized choices, No gender-related problems, Don't Know, Prefer Not to Answer</t>
  </si>
  <si>
    <t>3.163</t>
  </si>
  <si>
    <t>% of HHs with sewers access issues, by type of issue</t>
  </si>
  <si>
    <t>Have you faced any issues with sewers access in your household?</t>
  </si>
  <si>
    <t>Blocked or damaged sewage pipes, Overflowing sewage, Lack of connection to a sewage network, Frequent sewage backflows, Inadequate sewage maintenance services, Other contextualized choices, No sewage access issues, Don't Know, Prefer Not to Answer</t>
  </si>
  <si>
    <t>3.164</t>
  </si>
  <si>
    <t>% of HHs having faced environmental sanitation problems (living in areas where solid waste, waterwaste, open defecation were visible around their accommodation - 30 meters or less)</t>
  </si>
  <si>
    <t>Have you lived in areas where solid waste, wastewater, or open defecation were visible around your accommodation (30 meters or less)?</t>
  </si>
  <si>
    <t>3.165</t>
  </si>
  <si>
    <t>Coping Strategies</t>
  </si>
  <si>
    <t>% of HHs engaging in coping mechanisms for hygiene NFI access issues- by type of coping mechanism</t>
  </si>
  <si>
    <t>(If applicable) How does your household adapt to issues related to hygiene items?</t>
  </si>
  <si>
    <t>☐ Rely on less preferred types of NFI; ☐  Rely on soap substitutes (sand or other rubbing agents for soap, clothing for diapers, etc.); ☐ Buying NFI at a market place further than the usual one; ☐ Buying NFI at a market place in a dangerous place; ☐  Borrow NFI from a friend or relative ; ☐ Spend money (or credit) on NFI that should otherwise be used for other purposes; ☐ Reduce NFI consumption for personal hygiene; ☐  Reduce NFI consumption for other purposes (cleaning dishes, laundry, etc.) ; ☐ Other (specify) ; ☐ Don't know</t>
  </si>
  <si>
    <t>3.166</t>
  </si>
  <si>
    <t>% of HHs engaging in coping mechanisms due water insufficiency, by type of coping mechanism</t>
  </si>
  <si>
    <t>How does your household adapt to lack of water?</t>
  </si>
  <si>
    <t>The household does not have any issue
Rely on less preferred (unimproved/untreated) water sources for drinking water
Rely on surface water for drinking water;
Rely on less preferred (unimproved/untreated) water sources for other purposes such as cooking and washing
Rely on surface water for other purposes such as cooking and washing
Fetch water at a source further than the usual one
Send children to fetch water
Fetch water at a source that could be dangerous
Spend money (or credit) on water that should otherwise be used for other purposes
Reduce drinking water consumption (drink less)
Reduce water consumption for other purposes (bathe less, etc.)
Other (specify)
Don’t know
Prefer not to answer</t>
  </si>
  <si>
    <t>3.167</t>
  </si>
  <si>
    <t>% of HHs engaging in coping mechanisms due to sanitation access issues, by type of coping mechanism</t>
  </si>
  <si>
    <t>How do you adapt to issues related to sanitation facilities (latrines/toilets)?</t>
  </si>
  <si>
    <t>The HH does not have any issue
Rely on less preferred (unhygienic/unimproved) sanitation facilities (latrines/toilets)
Rely on communal sanitation facilities (latrines/toilets)
Defecate in a plastic bag
Defecate in the open
Going to sanitation facilities (latrines/toilets) further than the usual one
Going to sanitation facilities (latrines/toilets) in a dangerous place
Going to sanitation facilities (latrines/toilets) at night
Other (specify)
Don't know
Prefer not to answer</t>
  </si>
  <si>
    <t>3.168</t>
  </si>
  <si>
    <t>% of HHs by type of hygiene items needed</t>
  </si>
  <si>
    <t>Which 3 hygiene items does your household need the most?</t>
  </si>
  <si>
    <t>Broom
Bucket
Detergent/Bleach
Drinking Plastic Jug
Gloves
Hair comb
Jerrycan 10 L 
Jerrycan 20 L 
Laundry powder
Lice shampoo
Mop
Nail cutter
Nose mask
Plastic Jar with cover 1L
Plastic shovel
Powder soap
Razor
Sanitary towel/pads
Shampoo Adult
Soap
Tooth brush 
Tooth paste 
Towel
Waste bin
No hygiene items needed
Don't know
Prefer not to answer</t>
  </si>
  <si>
    <t>3.169</t>
  </si>
  <si>
    <t>% of HHs by their main method of solid waste disposal</t>
  </si>
  <si>
    <t>What is your household's main method of solid waste disposal?</t>
  </si>
  <si>
    <t>Burning, Burying, Dumping in open spaces, Using community dumpsites, Composting, Other contextualized choices, Don't Know, Prefer Not to Answer</t>
  </si>
  <si>
    <t>3.170</t>
  </si>
  <si>
    <t>Frequency of solid waste collection</t>
  </si>
  <si>
    <t>How often is solid waste collected from your household?</t>
  </si>
  <si>
    <t>Daily, Weekly, Bi-weekly, Monthly, Less than once a month, Don't Know, Prefer Not to Answer</t>
  </si>
  <si>
    <t>3.171</t>
  </si>
  <si>
    <t>Means of evacuating wastewater</t>
  </si>
  <si>
    <t>How does your household evacuate wastewater?</t>
  </si>
  <si>
    <t>Connected to sewage system, Septic tank, Open drainage, Other contextualized choices, Don't Know, Prefer Not to Answer</t>
  </si>
  <si>
    <t>3.172</t>
  </si>
  <si>
    <t>Frequency of septic tank / deep pit emptying</t>
  </si>
  <si>
    <t>How often is your septic tank or deep pit emptied?</t>
  </si>
  <si>
    <t>Monthly, Quarterly, Bi-annually, Annually, Less than once a year, Don't Know, Prefer Not to Answer</t>
  </si>
  <si>
    <t>3.173</t>
  </si>
  <si>
    <t>% of HHs by preferred type of interventions</t>
  </si>
  <si>
    <t xml:space="preserve">If your household were to receive support to address your concerns, what would you prefer? </t>
  </si>
  <si>
    <t>Cash for buying water items (containers, water treatment, etc.) or buying water
Direct provision/distribution of water items (containers, water treatment, etc.)
Direct provision of water (water trucking)
Construction/rehabilitation of water points    
Advice on construction/rehabilitation of water points 
Advise on water treatment 
Cash to build or improve sanitation facilities (toilets/latrines
Direct construction or rehabilitation of sanitation facilities toilets/latrines) 
Advice on construction/rehabilitation of sanitation facilities (toilets/latrines)
Cash for buying hygiene items (soap, diapers, pad, toothbrush, toothpaste, etc.)
Direct provision of hygiene items (soap, diapers, pad, toothbrush, toothpaste, etc.)
Advice on personal hygiene 
Other (specify);
Don't know</t>
  </si>
  <si>
    <t>3.174</t>
  </si>
  <si>
    <t>Public Awareness</t>
  </si>
  <si>
    <t>% of KIs aware of institutional campaigns or initiatives promoting sustainable waste management</t>
  </si>
  <si>
    <t>Are you aware of any institutional campaigns or initiatives promoting sustainable waste management?</t>
  </si>
  <si>
    <t>3.175</t>
  </si>
  <si>
    <t>% of KIs reporting local government initiatives to mitigate environmental impacts of waste, by initiative</t>
  </si>
  <si>
    <t>Are there local government initiatives to mitigate the environmental impacts of waste?</t>
  </si>
  <si>
    <t>Recycling programs, Waste reduction campaigns, Landfill management, Composting initiatives, Other contextualized choices, Don't Know, Prefer Not to Answer</t>
  </si>
  <si>
    <t>3.176</t>
  </si>
  <si>
    <t>Service Provider Gaps</t>
  </si>
  <si>
    <t>% of KIs reporting on outbreaks of diseases linked to poor sanitation</t>
  </si>
  <si>
    <t>Have there been outbreaks of diseases linked to poor sanitation in the area?</t>
  </si>
  <si>
    <t>3.177</t>
  </si>
  <si>
    <t>% of KIs reporting that waste collectors for formal waste disposal services have sufficient personnel and materials</t>
  </si>
  <si>
    <t>Do waste collectors for formal waste disposal services have sufficient personnel and materials?</t>
  </si>
  <si>
    <t>3.178</t>
  </si>
  <si>
    <t>Primary types of insufficient waste disposal equipment or personnel</t>
  </si>
  <si>
    <t>What are the primary types of insufficient waste disposal equipment or personnel?</t>
  </si>
  <si>
    <t>Lack of trucks, Lack of bins, Insufficient personnel, Lack of protective gear for workers, Other contextualized choices, Don't Know, Prefer Not to Answer</t>
  </si>
  <si>
    <t>3.179</t>
  </si>
  <si>
    <t>Shelter</t>
  </si>
  <si>
    <t>Adequacy of housing</t>
  </si>
  <si>
    <t>% of KIs reporting security of tenure</t>
  </si>
  <si>
    <t>Do you feel secure in your current housing against forced evictions or other threats?</t>
  </si>
  <si>
    <t>2.3.6</t>
  </si>
  <si>
    <t>3.180</t>
  </si>
  <si>
    <t>% of KIs by housing affordability</t>
  </si>
  <si>
    <t>Can you afford your housing without compromising on other basic needs?</t>
  </si>
  <si>
    <t>Always, most of the time, sometimes, rarely, never, Don't know, Prefer to not answer</t>
  </si>
  <si>
    <t>3.181</t>
  </si>
  <si>
    <t>% of KIs by housing location</t>
  </si>
  <si>
    <t>Is your housing situated in a location that allows easy access to employment options, healthcare services, schools, and other social facilities?</t>
  </si>
  <si>
    <t>Yes, No, Somewhat, Don't know, Prefer to not answer</t>
  </si>
  <si>
    <t>3.182</t>
  </si>
  <si>
    <t>% of KIs with access to basic services</t>
  </si>
  <si>
    <t>Does your housing have access to basic services such as clean water, sanitation, and electricity?</t>
  </si>
  <si>
    <t>Yes (all services), Yes (some services, please specify), No, Don't know, Prefer to not answer</t>
  </si>
  <si>
    <t>3.183</t>
  </si>
  <si>
    <t>% of KIs by housing habitability</t>
  </si>
  <si>
    <t>Is your housing in a condition that provides physical safety, and protection against the cold, damp, heat, rain, or other health risks?</t>
  </si>
  <si>
    <t>Yes, No, Requires minor repairs, Requires major repairs, Don't know, Prefer to not answer</t>
  </si>
  <si>
    <t>3.184</t>
  </si>
  <si>
    <t>% of KIs by housing accessibility</t>
  </si>
  <si>
    <t>Is housing accessible to all, including vulnerable groups such as the elderly, children, or those with disabilities?</t>
  </si>
  <si>
    <t>Yes, No, Only certain groups (please specify), Don't know, Prefer to not answer</t>
  </si>
  <si>
    <t>3.185</t>
  </si>
  <si>
    <t>Barriers</t>
  </si>
  <si>
    <t>% of HHs by main barrier to dignified and adequate shelter</t>
  </si>
  <si>
    <t>What is the main barrier your household faces in accessing dignified and adequate shelter?
[An adequate and dignified ensures safety, security, and privacy, respecting cultural and social norms. The design offers sufficient space, thermal comfort, natural light, and ventilation. Ideally located near essential services like water and healthcare, it's constructed with durable, environmentally sustainable materials]</t>
  </si>
  <si>
    <t>Financial constraints or high housing costs, Lack of legal documentation or tenure security, Limited availability of adequate housing in the area, Discrimination based on ethnicity, gender, or other factors, Displacement due to conflict or natural disasters, Lack of access to basic services (water, sanitation, electricity), Physical disabilities or specific needs not catered for in available housing, Cultural or social norms restricting housing choices, Deteriorating housing conditions and lack of resources for repairs, Other (please specify), Don't know, Prefer to not answer</t>
  </si>
  <si>
    <t>3.186</t>
  </si>
  <si>
    <t>Eviction</t>
  </si>
  <si>
    <t>% of HHs fearing eviction in the next X months</t>
  </si>
  <si>
    <t>Do you fear being evicted within the next X months?</t>
  </si>
  <si>
    <t>3.187.1</t>
  </si>
  <si>
    <t>% of HHs having been forcibly evicted over the past 6-12 months</t>
  </si>
  <si>
    <t>Has your household experienced eviction from its dwelling during the past x months?</t>
  </si>
  <si>
    <t>1. Yes 
2. No</t>
  </si>
  <si>
    <t>2.3.4</t>
  </si>
  <si>
    <t>3.187.2</t>
  </si>
  <si>
    <t>% of HHs forcibly evicted in last year by main reason for eviction</t>
  </si>
  <si>
    <t xml:space="preserve">[If evicted] What was the main reason for eviction? </t>
  </si>
  <si>
    <t>1. Haven't paid rent 
2. Rent was increased 
3. Owner no longer wanted to rent out 
4. Return of owner
5. Demolition 
6. Development projects
7. Eviction by Government decision
8. Eviction by armed groups
9. Neighbourhood pressure to leave
10. Other</t>
  </si>
  <si>
    <t>2.3.5</t>
  </si>
  <si>
    <t>3.188</t>
  </si>
  <si>
    <t>% of HHs with formal documentation proving housing ownership or rights</t>
  </si>
  <si>
    <t>Do you have formal documentation proving housing ownership or rights?</t>
  </si>
  <si>
    <t>2.3.3.1</t>
  </si>
  <si>
    <t>3.189</t>
  </si>
  <si>
    <t>Safe and dignified dwellings</t>
  </si>
  <si>
    <t>% of households living in safe and dignified dwellings (structure that protects them against external threats, health problems, weather and natural hazards)
% of households by occupancy status</t>
  </si>
  <si>
    <t>What is the occupancy arrangement for your current shelter?</t>
  </si>
  <si>
    <t>Ownership
Rented
Hosted for free
No occupancy agreement / squatting
Other (specify)
Don’t know
Prefer not to answer</t>
  </si>
  <si>
    <t>2.3.2</t>
  </si>
  <si>
    <t>3.190</t>
  </si>
  <si>
    <t>% of households living in safe and dignified dwellings (structure that protects them against external threats, health problems, weather and natural hazards)
% of households reporting type of shelter they currently live in</t>
  </si>
  <si>
    <t>What type of shelter does the household live in?</t>
  </si>
  <si>
    <t>Solid / finished house
Solid / finished apartment
Unfinished / non-enclosed building
Collective shelter
Tent
Makeshift shelter
None (sleeping in open)
Other (specify)
Don´t know
Prefer not to answer</t>
  </si>
  <si>
    <t>2.3.1</t>
  </si>
  <si>
    <t>3.191</t>
  </si>
  <si>
    <t xml:space="preserve">What damage and/or noticeable issue does your enclosure have? </t>
  </si>
  <si>
    <t>No damage or noticeable issue, Minor damage to roof (cracks, openings), Major damage to roof with risk of collapse, Damage to windows and/or doors (missing, broken, unable to shut properly), Damage to floors, Damage to walls, Lack of privacy inside the shelter (no partition, doors), Lack of space inside the shelter (min 3.5m² per household member), Lack of insulation from cold/heat, Limited ventilation (no air circulation unless main entrance is open), Leaks during rain, Unable to lock the shelter, Lack of lighting inside or outside the shelter, Total collapse or shelter too damaged and unsafe for living (but household still living there), Prefer not to answer, Adjust according to context</t>
  </si>
  <si>
    <t>3.192</t>
  </si>
  <si>
    <t>% of households living in safe and dignified dwellings (structure that protects them against external threats, health problems, weather and natural hazards)
Average number of household members per room</t>
  </si>
  <si>
    <t>In total, how many rooms are there in use in this shelter?</t>
  </si>
  <si>
    <t>___ Bedrooms / sleeping areas
___ Living rooms / common areas
___ Kitchens</t>
  </si>
  <si>
    <t>2.4.1</t>
  </si>
  <si>
    <t>3.193.1</t>
  </si>
  <si>
    <t>% of households living in a functional domestic space</t>
  </si>
  <si>
    <t>Is your household living in a functional domestic space, in terms of:
- Cooking
- Sleeping
- Storing food and water
- Electricity
- Personal hygiene</t>
  </si>
  <si>
    <t>Can do / functional, without any issues
Can do / functional, with issues
No, can't do / not functional</t>
  </si>
  <si>
    <t>3.193.2</t>
  </si>
  <si>
    <t>[if "No, can't do / not functional" or "Can do / functional, but with issues" for cooking] Please explain why you can't cook / the issues you face for cooking?</t>
  </si>
  <si>
    <t>Insufficient core NFI (utensils, kitchen sets)
Lack of access to cooking facilities
Unsafe cooking facilities
Insufficient cooking fuel
Other (specify)
Don't know
Prefer not to answer</t>
  </si>
  <si>
    <t>3.193.3</t>
  </si>
  <si>
    <t>[if "No, can't do / not functional" or "Can do / functional, but with issues" for sleeping] Please explain why you can't sleep / the issues you face for sleeping?</t>
  </si>
  <si>
    <t>Insufficient core NFI (bedding, mattresses/mats)
Insufficient space
Unsafe space
Other (specify)
Don't know
Prefer not to answer</t>
  </si>
  <si>
    <t>3.193.4</t>
  </si>
  <si>
    <t>[if "No, can't do / not functional" or "Can do / functional, but with issues" for storing food / water] Please explain why you can't store food and water / the issues you face when storing food and water?</t>
  </si>
  <si>
    <t>Lack of containers to store water
Lack of containers to store food
Lack of space to store water
Lack of space to store food
Can’t store food safely / it goes bad easily
Other (specify)
Don't know
Prefer not to answer</t>
  </si>
  <si>
    <t>3.193.5</t>
  </si>
  <si>
    <t>[if "No, can't do / not functional" or "Can do / functional, but with issues" for electricity] Pease explain the issues you face related to electricity?</t>
  </si>
  <si>
    <t>Intermittent and insufficient 
No electricity and no solar lamp
Other (specify)
Don't know
Prefer not to answer</t>
  </si>
  <si>
    <t>3.193.6</t>
  </si>
  <si>
    <t>[if "No, can't do / not functional" or "Can do / functional, but with issues" for personal hygiene] Please explain the issues you face related to personal hygiene?</t>
  </si>
  <si>
    <t>Insufficient core NFI (soap, bucket, …)
Lack of private hygiene facilities (bath/shower)
Private sanitation facilities are not working
Unsafe space
Other, specify
Don't know
Prefer to not answer
[choices to be contextualised]</t>
  </si>
  <si>
    <t>3.194</t>
  </si>
  <si>
    <t>What other core NFIs that you need in your household is missing</t>
  </si>
  <si>
    <t>None
[list of context-specific core NFIs]
Other (specify)
Don't know
Prefer not to answer</t>
  </si>
  <si>
    <t>3.195</t>
  </si>
  <si>
    <t>Security of housing</t>
  </si>
  <si>
    <t>% of HHs having a place to live for the next X months</t>
  </si>
  <si>
    <t>Has your household secured a place to live for the next X month?</t>
  </si>
  <si>
    <t>3.196</t>
  </si>
  <si>
    <t>Telecommunication</t>
  </si>
  <si>
    <t>% of HHs access to mobile network</t>
  </si>
  <si>
    <t>Does your household have access to a mobile network?</t>
  </si>
  <si>
    <t>3.197</t>
  </si>
  <si>
    <t>% of HHs access to mobile phone</t>
  </si>
  <si>
    <t>Does any member of your household have access to a mobile phone?</t>
  </si>
  <si>
    <t>Yes, No, Shared with neighbors/friends, Don't Know, Prefer Not to Answer</t>
  </si>
  <si>
    <t>2.1.14</t>
  </si>
  <si>
    <t>3.198</t>
  </si>
  <si>
    <t>Water</t>
  </si>
  <si>
    <t>% of HHs connected to the water network</t>
  </si>
  <si>
    <t>Is your household connected to a water network?</t>
  </si>
  <si>
    <t>3.199</t>
  </si>
  <si>
    <t>% of HHs that treat their drinking water</t>
  </si>
  <si>
    <t>Is it necessary to treat water taken from the primary water source on which the family relies?</t>
  </si>
  <si>
    <t>3.200</t>
  </si>
  <si>
    <t>% of HHs with a water tank</t>
  </si>
  <si>
    <t>Is your household using a water tank to store drinking or domestic water?</t>
  </si>
  <si>
    <t>Yes drinking, Yes domestic, Yes both, No, Prefer to not answer</t>
  </si>
  <si>
    <t>3.201.1</t>
  </si>
  <si>
    <t>% of HHs reporting differential water access based on gender, age</t>
  </si>
  <si>
    <t>Do certain members of your household find it more difficult to collect or access water compared to others?</t>
  </si>
  <si>
    <t>3.201.2</t>
  </si>
  <si>
    <t>if Yes, who finds it more difficult?</t>
  </si>
  <si>
    <t>Men, Women, Children, Elderly, Other [contextualized options], Don't Know</t>
  </si>
  <si>
    <t>3.202</t>
  </si>
  <si>
    <t>Average monthly expenditure on water per household (in local currency)</t>
  </si>
  <si>
    <t>How much does your household spend on water each month?</t>
  </si>
  <si>
    <t>3.203</t>
  </si>
  <si>
    <t>Top 3 types of HHs without access to the piped water network</t>
  </si>
  <si>
    <t>Which types of households are most likely not to have access to the piped water network?</t>
  </si>
  <si>
    <t>IDPs, Ethnic minorities, Low-income households, Remote households, [Other contextualized choices], Don't Know, Prefer Not to Answer</t>
  </si>
  <si>
    <t>3.204.1</t>
  </si>
  <si>
    <t>% of HHs by litres/person/day</t>
  </si>
  <si>
    <t>Does your household have access to a water storage tank? If yes, how many tanks do you have access to?</t>
  </si>
  <si>
    <t xml:space="preserve">1) Yes; No; Don’t know 
2) If yes, enter the number of tanks. </t>
  </si>
  <si>
    <t>GWC</t>
  </si>
  <si>
    <t xml:space="preserve">Most preferred question sequence on water sufficiency per GWC indicator bank. Some contextualization may be needed. All uses is 15 lpd, and drinking water is 7.5 lpd. </t>
  </si>
  <si>
    <t>3.204.2</t>
  </si>
  <si>
    <t>How many households share this tank?</t>
  </si>
  <si>
    <t>Enter number of families; Don’t know</t>
  </si>
  <si>
    <t>3.204.3</t>
  </si>
  <si>
    <t>(Observation): Ask to see the tank(s) and estimate the volume of each water tank in cubic meters.</t>
  </si>
  <si>
    <t>Enter number of cubic meters; Don’t know</t>
  </si>
  <si>
    <t>3.204.4</t>
  </si>
  <si>
    <t>How frequently is the tank filled with water?</t>
  </si>
  <si>
    <t>Daily (insert number of times the tank is fulfilled daily);
Weekly (insert number of times the tank is fulfilled daily);
Monthly (insert number of times the tank is fulfilled daily);
Don’t know</t>
  </si>
  <si>
    <t>3.204.5</t>
  </si>
  <si>
    <t>(If applicable) How many times did your household experience water cuts in the last 7 days?</t>
  </si>
  <si>
    <t>More than once a day;
Every day;
Twice a week;
Once a week;
No water cuts at all;
Don’t know</t>
  </si>
  <si>
    <t>3.204.6</t>
  </si>
  <si>
    <t>Percentage of households by number of water cuts per week</t>
  </si>
  <si>
    <t>3.205</t>
  </si>
  <si>
    <t>% of HHs having had problems related to access to water, by type of problem</t>
  </si>
  <si>
    <t>Does your household have problems related to access to water? If yes, which ones?</t>
  </si>
  <si>
    <t>Waterpoints are too far
 People with disabilities cannot reach/access waterpoints
 Safety concerns at main water points
 Safety concerns traveling to main water points
 Some groups (children, women, elderly, ethnic minorities, etc.) do not have access to the waterpoints
 Insufficient number of water points / long waiting time at water points;
 Water points are not functioning or closed
 Water is not available at the market
 Water is too expensive
 Not enough containers to store the water 
 Don’t like taste / quality of water
No problem related to access to water
Other (please specify)
Don’t know
Prefer not to answer</t>
  </si>
  <si>
    <t>2.1.3</t>
  </si>
  <si>
    <t>3.206</t>
  </si>
  <si>
    <t>% of female respondents reporting specific barriers to accessing water</t>
  </si>
  <si>
    <t>As a female respondent, do you face any specific challenges or barriers when trying to access water?</t>
  </si>
  <si>
    <t>Safety concerns, Cultural or social norms, Physical distance, Health issues, Economic reasons, [Other contextualized choices], None, Don't Know, Prefer not answer</t>
  </si>
  <si>
    <t>3.207</t>
  </si>
  <si>
    <t>% of HHs reporting difficulty affording water expenses</t>
  </si>
  <si>
    <t>Does your household face any difficulties in affording water expenses?</t>
  </si>
  <si>
    <t>3.208</t>
  </si>
  <si>
    <t>Top 3 reasons why certain HHs have no access to the piped water network</t>
  </si>
  <si>
    <t>Why does your household not have access to the piped water network?</t>
  </si>
  <si>
    <t>Lack of infrastructure, High connection costs, Water quality concerns, Ownership or land issues, Other [contextualized options], Don't Know</t>
  </si>
  <si>
    <t>3.209</t>
  </si>
  <si>
    <t>% of HHs engaging in coping mechanisms for water insufficiency - by types of coping mechanism</t>
  </si>
  <si>
    <t>(If applicable) How does your household adapt to lack of water?</t>
  </si>
  <si>
    <t>Rely on less preferred (unimproved/untreated) water sources for drinking water;
Rely on surface water for drinking water; 
Rely on less preferred (unimproved/untreated) water sources for other purposes such as cooking and washing;
Rely on surface water for other purposes such as cooking and washing;
Fetch water at a source further than the usual one;
Send children to fetch water;
Fetch water at a source that could be dangerous; 
Spend money (or credit) on water that should otherwise be used for other purposes; 
Reduce drinking water consumption (drink less);
Reduce water consumption for other purposes (bathe less, etc.);
Other (please list);
Don’t know</t>
  </si>
  <si>
    <t>3.210</t>
  </si>
  <si>
    <t>Distance to main water source</t>
  </si>
  <si>
    <t>% of HHs by time (minutes) taken to fetch water (round trip by walking, queuing and time needed to fetch water)</t>
  </si>
  <si>
    <t>How long does it take to go there, get water, and come back?</t>
  </si>
  <si>
    <t>Water on premises        
Less than 5 min to fetch and return     
Between 5 and 15 min to fetch and return   
Between 16 and 30 min to fetch and return
More than 31min to fetch and return 
Don’t know</t>
  </si>
  <si>
    <t>2.1.2.4</t>
  </si>
  <si>
    <t>3.211</t>
  </si>
  <si>
    <t>3.212</t>
  </si>
  <si>
    <t>% of HHs by main priority concerns reported</t>
  </si>
  <si>
    <t xml:space="preserve">Which of the following is your biggest concern right now for your household? </t>
  </si>
  <si>
    <t>Being able to access water for drinking, cooking, bathing and washing (both quality and quantity)
Being able to access adequate sanitation facilities (toilets/latrines) 
Being able to ensure personal hygiene
Having a healthy environment around the house, e.g. no visible solid waste, stagnant water, etc. 
No problem or concern 
Other (specify)
Don't know</t>
  </si>
  <si>
    <t>2.1</t>
  </si>
  <si>
    <t>% of KIs reporting that schools in the area have been used as shelters due to displacement crises</t>
  </si>
  <si>
    <t>Have schools in the area been used as shelters due to displacement crises?</t>
  </si>
  <si>
    <t>2.2</t>
  </si>
  <si>
    <t>% of KIs reporting on the presence of extracurricular activities in schools, by type of activity</t>
  </si>
  <si>
    <t>What types of extracurricular activities are present in schools in the area?</t>
  </si>
  <si>
    <t>Sports, Arts, Science clubs, [Other activities], None, Don't know, Prefer not to answer</t>
  </si>
  <si>
    <t xml:space="preserve">In some contexts it might be relevant to look at (non-formal) additional programs (phrasing to be adjusted in the context) that might be offered at school such as catch-up programs etc.  This indicator refers to information that is better to gather through (or complemented by) semi-structured data collection tools and subsequent qualitative analysis for a deeper understanding (the question must be adapted for semi-structured tools, and not be used in semi-structured tool as it is). If qualitative data collection is not possible, those indicators must be adapted to the context and several structured questions - with an appropriate follow up and skip logic - might be asked to collecting data on the same indicator. </t>
  </si>
  <si>
    <t>2.3</t>
  </si>
  <si>
    <t>% of KIs reporting that schools in the area are physically accessible (eg, roads, transportation)</t>
  </si>
  <si>
    <t>Are schools in the area physically accessible, considering roads and transportation?</t>
  </si>
  <si>
    <t>2.4</t>
  </si>
  <si>
    <t>% of KIs reporting that schools have facilities that are friendly for students with physical disabilities (eg, ramps, accessible toilets)</t>
  </si>
  <si>
    <t>Do most schools in the area have facilities that are friendly for students with physical disabilities?</t>
  </si>
  <si>
    <t>2.5</t>
  </si>
  <si>
    <t>% of KIs reporting the presence of educational facilities in the area, by type (formal, informal) and grade</t>
  </si>
  <si>
    <t>What types of educational facilities are present in the area, and for which grades?</t>
  </si>
  <si>
    <t>Formal [Specify grades], non-formal/non-institutionalised [Specify grades], Don't know, Prefer not to answer</t>
  </si>
  <si>
    <t>2.6.1</t>
  </si>
  <si>
    <t>% of KIs reporting the availability of scholarship or financial aid programs</t>
  </si>
  <si>
    <t>Are there scholarship or financial aid programs available for students in the area?</t>
  </si>
  <si>
    <t>2.6.2</t>
  </si>
  <si>
    <t>% of KIs reporting the sufficiency of scholarship or financial aid programs</t>
  </si>
  <si>
    <t>[if Yes] Are there scholarship or financial aid programs sufficient for students in the area?</t>
  </si>
  <si>
    <t>2.7</t>
  </si>
  <si>
    <t>% of KIs reporting on the presence of school-based financial support for underprivileged students</t>
  </si>
  <si>
    <t>Is there school-based financial support available for underprivileged students in the area? i.e. partents association sfinancial support and other non institutional support</t>
  </si>
  <si>
    <t>2.8</t>
  </si>
  <si>
    <t>% of KIs reporting on the provision of textbooks and other learning materials by schools</t>
  </si>
  <si>
    <t>Do schools in the area provide textbooks and other learning materials for free?</t>
  </si>
  <si>
    <t>2.9</t>
  </si>
  <si>
    <t>Capacity</t>
  </si>
  <si>
    <t>% of KIs who believe the current education facilities can absorb an additional X% of users</t>
  </si>
  <si>
    <t>Do you believe the current education facilities can absorb an additional users if needed?</t>
  </si>
  <si>
    <t>2.10</t>
  </si>
  <si>
    <t>% of KIs identifying constraints to absorb an additional X% of users, by type of constraint</t>
  </si>
  <si>
    <t>What are the constraints for schools to absorb an additional users?</t>
  </si>
  <si>
    <t>Infrastructure, Teacher shortage, Lack of materials, [Other constraints], Don't know, Prefer not to answer</t>
  </si>
  <si>
    <t>2.11</t>
  </si>
  <si>
    <t>Cost</t>
  </si>
  <si>
    <t>% of KIs reporting the amount of schools tuition or fees, by monthly amount</t>
  </si>
  <si>
    <t>What is the monthly amount of school tuition or fees in the area, in local currency? [adapt the period according to the context]</t>
  </si>
  <si>
    <t>[Specify range or amounts], Don't know, Prefer not to answer</t>
  </si>
  <si>
    <t>2.12</t>
  </si>
  <si>
    <t>% of KIs reporting that schools have conducted disaster preparedness training for staff and students</t>
  </si>
  <si>
    <t>Have schools in the area conducted disaster preparedness training for staff and students?</t>
  </si>
  <si>
    <t>2.13</t>
  </si>
  <si>
    <t>% of schools by construction materials</t>
  </si>
  <si>
    <t>What material is the school main building made from?</t>
  </si>
  <si>
    <t>Concrete
Clay
Stone
Wood
Other (specify)
Not sure</t>
  </si>
  <si>
    <t>2.14</t>
  </si>
  <si>
    <t>% of schools by type of classrooms</t>
  </si>
  <si>
    <t>Which types of classrooms / learning spaces are currently present in the schools in this community?</t>
  </si>
  <si>
    <t>Permanent classrooms (solid structure)
Semi-permanent classrooms (temporary structure)
Tents
Outdoor spaces (no structure)
Other (specify)</t>
  </si>
  <si>
    <t>2.15</t>
  </si>
  <si>
    <t>% of KIs reporting schools conduct regular safety and security drills</t>
  </si>
  <si>
    <t>Do schools in the area conduct regular safety and security drills?</t>
  </si>
  <si>
    <t>2.16</t>
  </si>
  <si>
    <t>% of KIs reporting schools have a designated safe area for emergencies</t>
  </si>
  <si>
    <t>Do schools in the area have a designated safe area for emergencies?</t>
  </si>
  <si>
    <t>2.17</t>
  </si>
  <si>
    <t>% of KIs reporting on the school's contingency plans for emergencies or unforeseen events</t>
  </si>
  <si>
    <t>Do schools in the area have contingency plans for emergencies or unforeseen events?</t>
  </si>
  <si>
    <t>2.18</t>
  </si>
  <si>
    <t>% of KIs by main source of water used by the school in the area</t>
  </si>
  <si>
    <t>What is the most common source of water used by schools in the area?</t>
  </si>
  <si>
    <t>Piped water
Protected well / spring
Rainwater 
Tanker truck or cart
Bottled water
Unpro-tected well / spring
Surface water
Don't know
Prefer to not answer</t>
  </si>
  <si>
    <t>2.19.1</t>
  </si>
  <si>
    <t>% of KIs reporting that schools in the area have a functioning canteen</t>
  </si>
  <si>
    <t>Do most schools in the area have a functioning canteen?</t>
  </si>
  <si>
    <t>2.19.2</t>
  </si>
  <si>
    <t>Average daily, weekly or monthly canteen cost for child/girl</t>
  </si>
  <si>
    <t>What is the average [daily, weekly, monthly] canteen cost for a child/girl in schools in the area, in local currency?</t>
  </si>
  <si>
    <t>2.19.3</t>
  </si>
  <si>
    <t>% of KI by reported canteen service / feeding program provider</t>
  </si>
  <si>
    <t>Who is providing the school feeding program/ cantine service</t>
  </si>
  <si>
    <t>Government
NGO (specify)
UN (specify)
[other contextualised choices]
Don't know
Prefer to not answer</t>
  </si>
  <si>
    <t>2.20.1</t>
  </si>
  <si>
    <t>% of KIs reporting that schools in the area have not consistent electricity access, by reason</t>
  </si>
  <si>
    <t>Why do most schools in the area not have consistent electricity access?</t>
  </si>
  <si>
    <t>Power outages, Lack of infrastructure, [Other reasons], Don't know, Prefer not to answer</t>
  </si>
  <si>
    <t xml:space="preserve">Use as follow up of 2.47. This indicator refers to information that is better to gather through (or complemented by) semi-structured data collection tools and subsequent qualitative analysis for a deeper understanding (the question must be adapted for semi-structured tools, and not be used in semi-structured tool as it is). If qualitative data collection is not possible, those indicators must be adapted to the context and several structured questions - with an appropriate follow up and skip logic - might be asked to collecting data on the same indicator. </t>
  </si>
  <si>
    <t>2.20.2</t>
  </si>
  <si>
    <t>% of KIs reporting on the presence of backup generators in schools</t>
  </si>
  <si>
    <t>Do schools in the area have backup generators?</t>
  </si>
  <si>
    <t>2.21</t>
  </si>
  <si>
    <t>% of KIs reporting that schools in the area have separate latrines for boys and girls</t>
  </si>
  <si>
    <t>Do most schools in the area have separate latrines for boys and girls?</t>
  </si>
  <si>
    <t>2.22</t>
  </si>
  <si>
    <t>% of KIs reporting that latrines in schools are regularly cleaned and maintained</t>
  </si>
  <si>
    <t>Are latrines in schools regularly cleaned and maintained?</t>
  </si>
  <si>
    <t>2.23</t>
  </si>
  <si>
    <t>% of KIs reporting that schools provide facilities or support for menstrual hygiene management for female students</t>
  </si>
  <si>
    <t>Do most schools provide facilities or support for menstrual hygiene management for female students?</t>
  </si>
  <si>
    <t>2.24</t>
  </si>
  <si>
    <t>% of KIs reporting that schools in the area have not consistent water access, be reason</t>
  </si>
  <si>
    <t>Why do schools in the area not have consistent water access?</t>
  </si>
  <si>
    <t>Lack of infrastructure, Water scarcity, [Other reasons], Don't know, Prefer not to answer</t>
  </si>
  <si>
    <t xml:space="preserve">Use as follow up of 2.47. This indicator refers to information that is better to gather through (or complemented by) semi-structured data collection tools and subsequent qualitative analysis for a deeper understanding (the question must be adapted for semi-structured tools, and not be used in semi-structured tool as it is). If qualitative data collection is not possible, those indicators must be adapted to the context and several structured questions - with an appropriate follow up and skip logic - might be asked to collecting data on the same indicator. This indicator refers to information that is better to gather through (or complemented by) semi-structured data collection tools and subsequent qualitative analysis for a deeper understanding (the question must be adapted for semi-structured tools, and not be used in semi-structured tool as it is). If qualitative data collection is not possible, those indicators must be adapted to the context and several structured questions - with an appropriate follow up and skip logic - might be asked to collecting data on the same indicator. </t>
  </si>
  <si>
    <t>2.25.1</t>
  </si>
  <si>
    <t>Impact of disaster</t>
  </si>
  <si>
    <t>Number of primary and secondary school functioning in the community pre-disaster</t>
  </si>
  <si>
    <t xml:space="preserve">How many primary/secondary schools in the area were functioning pre-disaster? </t>
  </si>
  <si>
    <t>RNA_EDUCATION</t>
  </si>
  <si>
    <t>Repeat for secondary</t>
  </si>
  <si>
    <t>2.25.2</t>
  </si>
  <si>
    <t>Number/ % of (primary/ secondary) schools in the community that have been damaged by the disaster</t>
  </si>
  <si>
    <t xml:space="preserve">Among them, how many have been damaged by the disaster? </t>
  </si>
  <si>
    <t>2.25.3</t>
  </si>
  <si>
    <t>Number/ % of classrooms in (primary/ secondary) that are severely damaged
(not functional anymore)</t>
  </si>
  <si>
    <t xml:space="preserve">In each of these schools, how many have been severely damaged or completely destroyed (hence do not function anymore)?  </t>
  </si>
  <si>
    <t>2.25.4</t>
  </si>
  <si>
    <t>Number/ % of classrooms in (primary/ secondary) that are not severely damaged 
(still functional)</t>
  </si>
  <si>
    <t xml:space="preserve">In each of this school, how many classrooms suffer from no to medium damages (needs repair but still functional)? </t>
  </si>
  <si>
    <t>2.25.5</t>
  </si>
  <si>
    <t>Presence of classrooms used for purposes other than teaching</t>
  </si>
  <si>
    <t xml:space="preserve">Are some of them being used for other purposes than teaching (e.g. used as shelter and/or for delivering assistance)? </t>
  </si>
  <si>
    <t>2.26</t>
  </si>
  <si>
    <t>Impact of Displacement</t>
  </si>
  <si>
    <t>% of KIs noting a change in school dropout rates since the arrival of IDPs</t>
  </si>
  <si>
    <t>Have school dropout rates changed since the arrival of IDPs?</t>
  </si>
  <si>
    <t>Increased, Decreased, Remained the same, Don't know, Prefer not to answer</t>
  </si>
  <si>
    <t xml:space="preserve">Relevant in both protracted and sudden-onset crises, when the area is characterised by an influx of internally displaced persons or refugees. Keep the context carefully in mind while deciding to integrate or not, and how to rephrase: are there pre-existing tensions between communities that may be exacerbated by this type of questioning? What is the risk of having answers based on existing tensions instead of objective information?
Consider adding a contextualised date in both indicator and question, reflecting major events.
This indicator refers to information that is better to gather through (or complemented by) semi-structured data collection tools and subsequent qualitative analysis for a deeper understanding (the question must be adapted for semi-structured tools, and not be used in semi-structured tool as it is). If qualitative data collection is not possible, those indicators must be adapted to the context and several structured questions - with an appropriate follow up and skip logic - might be asked to collecting data on the same indicator. </t>
  </si>
  <si>
    <t>2.27</t>
  </si>
  <si>
    <t>% of KIs reporting a change in school enrollment rates since the arrival of IDPs, by type of change</t>
  </si>
  <si>
    <t>How have school enrollment rate changed since the arrival of IDPs?</t>
  </si>
  <si>
    <t>Increased enrollment, Decreased enrollment, No change, Don't know, Prefer not to answer</t>
  </si>
  <si>
    <t xml:space="preserve">Relevant in both protracted and sudden crises, when the area is characterised by an influx of IDPs or refugees. Keep the context in mind while deciding whether or not to integrate, and how to reformulate: are there pre-existing tensions between communities that could be exacerbated by this type of question? What is the risk of having answers based on existing tensions instead of objective information?
Consider adding a contextualised date in both indicator and question, reflecting major events.
This indicator refers to information that is better to gather through (or complemented by) semi-structured data collection tools and subsequent qualitative analysis for a deeper understanding (the question must be adapted for semi-structured tools, and not be used in semi-structured tool as it is). If qualitative data collection is not possible, those indicators must be adapted to the context and several structured questions - with an appropriate follow up and skip logic - might be asked to collecting data on the same indicator. </t>
  </si>
  <si>
    <t>2.28</t>
  </si>
  <si>
    <t>% of KIs reporting alterations in school schedules or shifts to accommodate the increased number of students due to IDPs, by type of alteration</t>
  </si>
  <si>
    <t>How have school schedules or shifts been altered to accommodate the increased number of students due to IDPs?</t>
  </si>
  <si>
    <t>Added shifts, Extended hours, [Other alterations], No alterations, Don't know, Prefer not to answer</t>
  </si>
  <si>
    <t xml:space="preserve">Relevant in both protracted and sudden crises, when the area is characterised by an influx of IDPs or refugees. Keep the context in mind while deciding whether or not to integrate, and how to reformulate: are there pre-existing tensions between communities that could be exacerbated by this type of question? What is the risk of having answers based on existing tensions instead of objective information?
This indicator refers to information that is better to gather through (or complemented by) semi-structured data collection tools and subsequent qualitative analysis for a deeper understanding (the question must be adapted for semi-structured tools, and not be used in semi-structured tool as it is). If qualitative data collection is not possible, those indicators must be adapted to the context and several structured questions - with an appropriate follow up and skip logic - might be asked to collecting data on the same indicator. </t>
  </si>
  <si>
    <t>2.29</t>
  </si>
  <si>
    <t>% of KIs identifying schools that have been repurposed to accommodate IDPs</t>
  </si>
  <si>
    <t>Have any schools been repurposed to accommodate IDPs?</t>
  </si>
  <si>
    <t>Relevant in both protracted and sudden crises, when the area is characterised by an influx of IDPs or refugees. Keep the context in mind while deciding whether or not to integrate, and how to reformulate: are there pre-existing tensions between communities that could be exacerbated by this type of question? What is the risk of having answers based on existing tensions instead of objective information?</t>
  </si>
  <si>
    <t>2.30</t>
  </si>
  <si>
    <t>% of KIs reporting a change in language or curriculum needs due to IDP influx</t>
  </si>
  <si>
    <t>Has there been a change in language or curriculum needs in schools due to IDP influx?</t>
  </si>
  <si>
    <t>2.31</t>
  </si>
  <si>
    <t>% of KIs reporting the integration of IDP children into local schools</t>
  </si>
  <si>
    <t>Are IDP children integrated into local schools?</t>
  </si>
  <si>
    <t>2.32</t>
  </si>
  <si>
    <t>% of KIs reporting special educational programs or support for IDP children</t>
  </si>
  <si>
    <t>Are there special educational programs or support available for IDP children in schools?</t>
  </si>
  <si>
    <t>2.33</t>
  </si>
  <si>
    <t>% of KIs reporting that schools in the area have inclusive practices (gender, disabilities, ethnic/religious backgrounds), by practice</t>
  </si>
  <si>
    <t>Do most schools in the area have inclusive practices for gender, disabilities, and ethnic/religious backgrounds? [Facilities that can be used by anyone regardless of gender, Ensuring that school buildings are wheelchair accessible, have ramps, and other necessary modifications, Tailored programs to meet the needs of students with various disabilities, Incorporating literature, history, and other subjects from various cultures and backgrounds, Regular training sessions for teachers and staff on inclusivity and diversity, ....]</t>
  </si>
  <si>
    <t>2.34</t>
  </si>
  <si>
    <t>% of KIs reporting schools have facilities and curricula inclusive for students with disabilities</t>
  </si>
  <si>
    <t>Do schools have facilities and curricula that are inclusive for students with disabilities? [Curricula include Individualized Education Plans and adapted materials. Special educators and therapeutic services support diverse learning needs.]</t>
  </si>
  <si>
    <t>2.35</t>
  </si>
  <si>
    <t>% of KIs reporting that schools have community outreach or engagement programs</t>
  </si>
  <si>
    <t>Do schools in the area have community outreach or engagement programs?</t>
  </si>
  <si>
    <t>2.36</t>
  </si>
  <si>
    <t>% of KIs reporting that schools have initiatives promoting social cohesion and peace education</t>
  </si>
  <si>
    <t>Do schools in the area have initiatives promoting social cohesion and peace education?</t>
  </si>
  <si>
    <t>2.37</t>
  </si>
  <si>
    <t>Maintenance and management</t>
  </si>
  <si>
    <t>% of KIs reporting that school managers and directors have received formal training in school management</t>
  </si>
  <si>
    <t>Have school managers and directors in the area received formal training in school management?</t>
  </si>
  <si>
    <t>2.38</t>
  </si>
  <si>
    <t>% of KIs reporting on the primary sources of school funding (eg, government, fees, donations, etc)</t>
  </si>
  <si>
    <t>What are the primary sources of school funding in the area?</t>
  </si>
  <si>
    <t>Government, Fees, Donations, [Other sources], Don't know, Prefer not to answer</t>
  </si>
  <si>
    <t>2.39</t>
  </si>
  <si>
    <t>% of KIs reporting that the available funds are sufficient for school operations</t>
  </si>
  <si>
    <t>Are the available funds sufficient for school operations in the area?</t>
  </si>
  <si>
    <t>2.40</t>
  </si>
  <si>
    <t>Top 3 challenges faced by school managers and directors in managing the schools</t>
  </si>
  <si>
    <t>What are the top 3 challenges faced by school managers and directors in managing schools?</t>
  </si>
  <si>
    <t>Funding, Infrastructure, Staffing, [Other challenges], Don't know, Prefer not to answer</t>
  </si>
  <si>
    <t>2.41</t>
  </si>
  <si>
    <t>% of KIs reporting that schools have a mechanism to gather feedback from students, parents, and staff</t>
  </si>
  <si>
    <t>Do schools in the area have a mechanism to gather feedback from students, parents, and staff?</t>
  </si>
  <si>
    <t>2.42</t>
  </si>
  <si>
    <t>% of KIs reporting the involvement of parents and community members in school management</t>
  </si>
  <si>
    <t xml:space="preserve">Does schools in the area implement any of the following activities? </t>
  </si>
  <si>
    <t>School-based management committee (group of parents, teachers and other stakeholders meeting regularly to decide on issues related to the school)
Parent committees (groups of parents meeting regularly to discuss issues related to the school)
Community education committee (group of community members meeting to design and implement activities to promote education in the community)
None of the abov</t>
  </si>
  <si>
    <t>2.43</t>
  </si>
  <si>
    <t>% of KIs reporting the existance school's strategies for improving student enrollment and attendance, by strategy</t>
  </si>
  <si>
    <t>What strategies do schools have for improving student enrollment and attendance?</t>
  </si>
  <si>
    <t>Awareness campaigns, Financial incentives, Canteen, [Other strategies], Don't know, Prefer not to answer</t>
  </si>
  <si>
    <t>2.44</t>
  </si>
  <si>
    <t>% of KIs reporting school's strategies for student retention and motivation, by strategy</t>
  </si>
  <si>
    <t>What strategies do schools have for student retention and motivation?</t>
  </si>
  <si>
    <t>Extra-curricular activities, Counseling, Canteen, [Other strategies], Don't know, Prefer not to answer</t>
  </si>
  <si>
    <t>2.45</t>
  </si>
  <si>
    <t>Measures to improve</t>
  </si>
  <si>
    <t>% of KIs reporting that steps are being taken to improve education in the area, by type of action</t>
  </si>
  <si>
    <t>What steps are being taken to improve education in the area?</t>
  </si>
  <si>
    <t>Infrastructure development, Teacher training, [Other actions], Don't know, Prefer not to answer</t>
  </si>
  <si>
    <t>2.46</t>
  </si>
  <si>
    <t>% of KIs reporting that steps are being taken to improve education in the area, by type result</t>
  </si>
  <si>
    <t>What results have been observed from the steps taken to improve education in the area?</t>
  </si>
  <si>
    <t>Improved enrollment, Better infrastructure, [Other results], Don't know, Prefer not to answer</t>
  </si>
  <si>
    <t>2.47</t>
  </si>
  <si>
    <t>% of KIs reporting schools lacking essential facilities (clean water, electricity, etc), by type of faciity</t>
  </si>
  <si>
    <t>What essential facilities are schools lacking?</t>
  </si>
  <si>
    <t>Clean water, Electricity, [Other facilities], Don't know, Prefer not to answer</t>
  </si>
  <si>
    <t>2.48</t>
  </si>
  <si>
    <t>Service provider gaps</t>
  </si>
  <si>
    <t>% of KIs reporting that schools in the area are overcrowded</t>
  </si>
  <si>
    <t>Are schools in the area overcrowded?</t>
  </si>
  <si>
    <t>2.49</t>
  </si>
  <si>
    <t>% of KIs reporting that schools in the area are lacking qualified teachers</t>
  </si>
  <si>
    <t>Are schools in the area lacking qualified teachers?</t>
  </si>
  <si>
    <t>2.50</t>
  </si>
  <si>
    <t>% of KIs reporting the proportion of teachers receiving full salaries</t>
  </si>
  <si>
    <t>What share of teachers in the area receive full salaries?</t>
  </si>
  <si>
    <t>0-20%, 21-40%, 41-60%, 61-80%, 81-100%, Don't know, Prefer not to answer</t>
  </si>
  <si>
    <t>2.51</t>
  </si>
  <si>
    <t>% of KIs reporting that schools in the area are lacking supplies, by type of supply</t>
  </si>
  <si>
    <t>What types of supplies are schools in the area lacking?</t>
  </si>
  <si>
    <t>Textbooks, Stationery, [Other supplies], Don't know, Prefer not to answer</t>
  </si>
  <si>
    <t>2.52</t>
  </si>
  <si>
    <t>% of KIs reporting schools have a functioning library</t>
  </si>
  <si>
    <t>Do schools in the area have a functioning library?</t>
  </si>
  <si>
    <t>2.53</t>
  </si>
  <si>
    <t>% of KIs reporting schools are facing financial challenges</t>
  </si>
  <si>
    <t>Are schools in the area facing financial challenges?</t>
  </si>
  <si>
    <t>2.54</t>
  </si>
  <si>
    <t>% of KIs reporting on timely teacher payments</t>
  </si>
  <si>
    <t>Are teachers' salaries ever paid late?</t>
  </si>
  <si>
    <t>Always or almost always
Sometimes paid on time, sometimes not (specify - follow up text)
No salary or salary is always late (3 months or more delay)
Not sure
Prefer to not answer</t>
  </si>
  <si>
    <t>2.55.1</t>
  </si>
  <si>
    <t>Stakeholder identification</t>
  </si>
  <si>
    <t>% of KIs reporting collaborations between educational facilities and external stakeholders, by type of stakeholders</t>
  </si>
  <si>
    <t>Are there collaborations between educational facilities and external stakeholders in the area?</t>
  </si>
  <si>
    <t>Yes [specify context-relevant stakeholder and repeat for all stakeholders e.g. NGOs, OI, CSOs,…], No, Don't know, Prefer not to answer</t>
  </si>
  <si>
    <t xml:space="preserve">This indicator refers to an information that is better to gather through (or complemented by) semi-structured data collection tools and subsequent qualitative analysis for a deeper understanding (the question must be adapted for semi-structured tools, and not be used in semi-structured tool as it is). If qualitative data collection is not possible, those indicators must be adapted to the context and several structured question - with an appropriate follow up and skip logic - might be ask for collecting data on the same indicator. </t>
  </si>
  <si>
    <t>2.55.2</t>
  </si>
  <si>
    <t>% of KIs reporting collaborations between educational facilities and external stakeholders, by type of collaboration</t>
  </si>
  <si>
    <t>What types of collaborations exist between educational facilities and external stakeholders?</t>
  </si>
  <si>
    <t>Joint projects, Funding, Feeding program, [Other types of collaboration], Don't know, Prefer not to answer</t>
  </si>
  <si>
    <t>2.56.1</t>
  </si>
  <si>
    <t>% of KIs reporting some areas are not connected to the public grid, by reason</t>
  </si>
  <si>
    <t>Are there areas in your community not connected to the public grid?</t>
  </si>
  <si>
    <t>Yes [specify context specific reason: Lack of infrastructure, Financial constraints, etc., and repeat for each], No, Don't know, Prefer not to answer</t>
  </si>
  <si>
    <t>2.56.2</t>
  </si>
  <si>
    <t>Name and location of areas not connected to the public grid</t>
  </si>
  <si>
    <t>Can you name and specify the location of areas not connected to the public grid?</t>
  </si>
  <si>
    <t>[text or list of urban district, neighbourhoods], Don't know, Prefer not to answer</t>
  </si>
  <si>
    <t>2.57.1</t>
  </si>
  <si>
    <t>% of KIs reporting functional power plants before the crisis, and now not functional</t>
  </si>
  <si>
    <t>Were there functional power plants before the crisis that are now not functional?</t>
  </si>
  <si>
    <t>2.57.2</t>
  </si>
  <si>
    <t>Names and locations of previously functional power plants</t>
  </si>
  <si>
    <t>Can you name and specify the locations of previously functional power plants?</t>
  </si>
  <si>
    <t>2.57.3</t>
  </si>
  <si>
    <t>% of KIs reporting functional power plants before the crisis, and now not functional, by reason</t>
  </si>
  <si>
    <t>What are the reasons some power plants that were functional before the crisis are now not functional?</t>
  </si>
  <si>
    <t>Damage, Lack of maintenance, [Other reasons], Don't know, Prefer not to answer</t>
  </si>
  <si>
    <t>2.57.4</t>
  </si>
  <si>
    <t>% of KIs by mentioned efforts to repair non-functional plants</t>
  </si>
  <si>
    <t>Are there efforts underway to repair non-functional power plants?</t>
  </si>
  <si>
    <t>2.58</t>
  </si>
  <si>
    <t>% of KIs reporting damage to the electrical network in the area, by type of damage</t>
  </si>
  <si>
    <t>Has there been damage to the electrical network in the area? If yes, what type of damage?</t>
  </si>
  <si>
    <t>Yes  [specify context specific reason: Physical damage, Overloading, etc. and repeat for each], No, Don't know, Prefer not to answer</t>
  </si>
  <si>
    <t>2.59</t>
  </si>
  <si>
    <t>% of KIs reporting on the presence of renewable energy sources in the area</t>
  </si>
  <si>
    <t>Are there renewable energy sources present in the area?</t>
  </si>
  <si>
    <t>2.60</t>
  </si>
  <si>
    <t>% of KIs reporting on the reliability of electricity supply (eg, frequency of outages)</t>
  </si>
  <si>
    <t>How often are there electricity outages in the area?</t>
  </si>
  <si>
    <t>Daily, Weekly, Monthly, Rarely, Never, Don't know, Prefer not to answer</t>
  </si>
  <si>
    <t>2.61</t>
  </si>
  <si>
    <t>% of KIs by capacity and efficiency of existing power plants</t>
  </si>
  <si>
    <t>How would you rate the capacity and efficiency of existing power plants in the area?</t>
  </si>
  <si>
    <t>Efficient, Moderate, Inefficient, Don't know, Prefer not to answer</t>
  </si>
  <si>
    <t>2.62</t>
  </si>
  <si>
    <t>% of KIs reporting that the local electricity supply is self-sufficient (ie, generated within the region without relying on external sources)</t>
  </si>
  <si>
    <t>Is the local electricity supply self-sufficient?</t>
  </si>
  <si>
    <t>2.63</t>
  </si>
  <si>
    <t>% of KIs by primary service providers in the energy sector (eg, government, private companies, international organizations)</t>
  </si>
  <si>
    <t>Who are the primary service providers in the energy sector in the area?</t>
  </si>
  <si>
    <t>Government, Private companies, International organizations, [Other providers], Don't know, Prefer not to answer</t>
  </si>
  <si>
    <t>2.64.1</t>
  </si>
  <si>
    <t>% of KIs reporting steps being taken to improve access to electricity in the area, by action</t>
  </si>
  <si>
    <t>What steps are being taken to improve access to electricity in the area?</t>
  </si>
  <si>
    <t>Repairing infrastructure, Building new plants, [Other steps], Don't know, Prefer not to answer</t>
  </si>
  <si>
    <t>2.64.2</t>
  </si>
  <si>
    <t>% of KIs reporting on the effectiveness of steps taken to improve electricity access</t>
  </si>
  <si>
    <t>How effective have the steps taken to improve electricity access been?</t>
  </si>
  <si>
    <t>Very effective, Somewhat effective, Not effective, Don't know, Prefer not to answer</t>
  </si>
  <si>
    <t>2.64.3</t>
  </si>
  <si>
    <t>Top 3 reasons why steps to improve access to electricity are not effective</t>
  </si>
  <si>
    <t>What are the top reasons why steps to improve access to electricity are not effective?</t>
  </si>
  <si>
    <t>Lack of funding, Poor planning, [Other reasons], Don't know, Prefer not to answer</t>
  </si>
  <si>
    <t>2.65</t>
  </si>
  <si>
    <t>% of KIs reporting the presence of healthcare facilities in the locality, by type</t>
  </si>
  <si>
    <t>Are you aware of any healthcare facilities in the locality?</t>
  </si>
  <si>
    <t>Primary care center, Hospital, Maternity clinic, [Other types], None, Don't know</t>
  </si>
  <si>
    <t>2.66</t>
  </si>
  <si>
    <t>% of KIs reporting on the presence of specialized healthcare facilities (eg, trauma care, rehabilitative care)</t>
  </si>
  <si>
    <t>Are there specialized healthcare services in the locality?</t>
  </si>
  <si>
    <t>Yes trauma care, Yes rehabilitative care, Yesnutrition services, [Other specialised healthcare facilities] No, Don't know, Prefer not to answer</t>
  </si>
  <si>
    <t>2.67.1</t>
  </si>
  <si>
    <t>% of KIs reporting on the presence of specific nutrition services</t>
  </si>
  <si>
    <t>What specific nutrition services are present in the locality?</t>
  </si>
  <si>
    <t>Community-based Management of Acute Malnutrition, Supplementary Feeding Programs, Mass Screening for Malnutrition, Micronutrient Interventions, [expand the list based on context], Don't know, Prefer to not answer</t>
  </si>
  <si>
    <t>Ask if nutrition services are present in the locality</t>
  </si>
  <si>
    <t>2.67.2</t>
  </si>
  <si>
    <t>% of KIs reporting on the area where most of nutrition referals come from</t>
  </si>
  <si>
    <t>Could you indicate the area of the area from where MOST of nutrition referals come from?</t>
  </si>
  <si>
    <t>text</t>
  </si>
  <si>
    <t>2.67.3</t>
  </si>
  <si>
    <t>% of KIs reporting on the area where less nutrition referals come from</t>
  </si>
  <si>
    <t>Could you indicate the area of the area from where LESS nutrition referals come from?</t>
  </si>
  <si>
    <t>2.67.4</t>
  </si>
  <si>
    <t>% of KIs reporting on the area with low coverage of nutrition services</t>
  </si>
  <si>
    <t>Could you indicate the areas with a low coverage of nutrition services?</t>
  </si>
  <si>
    <t>2.68.1</t>
  </si>
  <si>
    <t>% of KIs by condition of healthcare facilities</t>
  </si>
  <si>
    <t>How would you rate the condition of most of healthcare facilities in the locality?</t>
  </si>
  <si>
    <t>Good, Average, Poor, Don't know, Prefer not to answer</t>
  </si>
  <si>
    <t>2.68.2</t>
  </si>
  <si>
    <t>% of KIs by maintenance of healthcare facilities</t>
  </si>
  <si>
    <t>How would you rate the maintenance of most of healthcare facilities in the locality?</t>
  </si>
  <si>
    <t>2.69</t>
  </si>
  <si>
    <t>% of KIs by the type of health services available in the locality</t>
  </si>
  <si>
    <t>What types of health services are available in the locality?</t>
  </si>
  <si>
    <t>Primary level (pharmacies, dispensaries), secondary level (health centers with basic services), tertiary levels (referral hospitals with specialized services), Other, Don't know, Prefer to not answer</t>
  </si>
  <si>
    <t>2.70</t>
  </si>
  <si>
    <t>% of KIs reporting specific healthcare services that are unavailable in the area, by type of services</t>
  </si>
  <si>
    <t>Are there specific healthcare services that are unavailable in the area?</t>
  </si>
  <si>
    <t>Yes [Specify], No, Don't know</t>
  </si>
  <si>
    <t>2.71</t>
  </si>
  <si>
    <t>% of KIs reporting on health awareness and promotion initiatives in the locality</t>
  </si>
  <si>
    <t>Are there health awareness and promotion initiatives in the locality?</t>
  </si>
  <si>
    <t>2.72</t>
  </si>
  <si>
    <t>% of KIs reporting on the presence of community health workers or health volunteers in the locality</t>
  </si>
  <si>
    <t>Are there community health workers or health volunteers present in the locality?</t>
  </si>
  <si>
    <t>2.73</t>
  </si>
  <si>
    <t>% of KIs reporting gender-based disparities in accessing healthcare services</t>
  </si>
  <si>
    <t>Are you aware of any gender-based disparities in accessing healthcare services in the locality?</t>
  </si>
  <si>
    <t>Yes females have generally lower access than males, Yes males have generally lower access than females, No males and females have same level of access, Don't know, Prefer not to answer</t>
  </si>
  <si>
    <t>2.74</t>
  </si>
  <si>
    <t>% of KIs reporting specific barriers faced by women when accessing healthcare services, by type of barrier</t>
  </si>
  <si>
    <t>Are there specific barriers faced by women when accessing healthcare services in the locality?</t>
  </si>
  <si>
    <t>Financial constraints, Cultural norms, Lack of female healthcare providers, Lack of reproductive health services, Lack of sexual health services, Opening hours of healthcare services are not convenient, Transportaiton is unavailable, Unsafe to go to the health services, [Other barriers], None, Don't know, Prefer not to answer</t>
  </si>
  <si>
    <t>2.75.1</t>
  </si>
  <si>
    <t>% of KIs reporting on groups (eg, ethnic, religious, displaced) facing unequal access to healthcare services</t>
  </si>
  <si>
    <t>Are there specific groups (e.g., ethnic, religious, displaced, people with disabilities, elders) that face unequal access to healthcare services?</t>
  </si>
  <si>
    <t>Yes [group] have generally a lower access level than the rest of the population, [repeat for each group] No, Don't know, Prefer not to answer</t>
  </si>
  <si>
    <t>2.75.2</t>
  </si>
  <si>
    <t>% of KIs reporting on groups (eg, ethnic, religious, displaced) facing unequal access to healthcare services by barrier</t>
  </si>
  <si>
    <t>What are the specific barriers? [ask for each mentioned category]</t>
  </si>
  <si>
    <t>Financial constraints, Discrimination, Lack of documentation, [Other barriers], None, Don't know, Prefer not to answer</t>
  </si>
  <si>
    <t>2.76.1</t>
  </si>
  <si>
    <t>% of KIs who believe the current health facilities can absorb an additional X% of users</t>
  </si>
  <si>
    <t>Do you believe the current health facilities can absorb an additional X% of users?</t>
  </si>
  <si>
    <t>Yes, No, Maybe, Don't know, Prefer not to answer</t>
  </si>
  <si>
    <t>2.76.2</t>
  </si>
  <si>
    <t>What constraints might prevent health facilities from absorbing an additional X% of users?</t>
  </si>
  <si>
    <t>Lack of space, Lack of staff, Insufficient equipment, [Other constraints], Don't know, Prefer not to answer</t>
  </si>
  <si>
    <t>2.77.1</t>
  </si>
  <si>
    <t>% of KIs by most frequented health service in the locality reported</t>
  </si>
  <si>
    <t>What is the most frequented health service in the locality?</t>
  </si>
  <si>
    <t>2.77.2</t>
  </si>
  <si>
    <t>% of KIs reporting whether the most frequented health service is functional enough to absorb the demand</t>
  </si>
  <si>
    <t>Do you believe the most frequented health service in the locality is functional enough to absorb the current demand?</t>
  </si>
  <si>
    <t>2.77.3</t>
  </si>
  <si>
    <t>% of KIs reporting  the most frequented health service is not functional enough to absorb the demand, by reason</t>
  </si>
  <si>
    <t>Do you believe that the most frequented health service in the area can adequately handle the current demand? If not, why?</t>
  </si>
  <si>
    <t>Insufficient medical staff, Lack of necessary equipment, Facility is too small, Lack of essential medicines, It can handle the demand, Other (specify), Don't know, Prefer not to answer</t>
  </si>
  <si>
    <t>2.78</t>
  </si>
  <si>
    <t>Top three resources or changes needed to accommodate an additional X% of users</t>
  </si>
  <si>
    <t>What are the top three resources or changes needed for health facilities to accommodate an additional X% of users?</t>
  </si>
  <si>
    <t>[Specify resources or changes]</t>
  </si>
  <si>
    <t>2.79</t>
  </si>
  <si>
    <t>% of KIs reporting on the preparedness of health facilities for natural disasters or emergencies</t>
  </si>
  <si>
    <t>Are most of health facilities in the locality prepared for natural disasters or emergencies?</t>
  </si>
  <si>
    <t>2.80</t>
  </si>
  <si>
    <t>% of KIs reporting on the resilience of health facilities to local natural hazards (eg, earthquakes, floods)</t>
  </si>
  <si>
    <t>Are most of health facilities' buildings in the locality resilient to local natural hazards like earthquakes or floods? [refers to the design and construction of health facilities that can withstand and quickly recover from adverse events, ensuring the safety and continuity of cares]</t>
  </si>
  <si>
    <t>2.81</t>
  </si>
  <si>
    <t>% of KIs reporting health facilities conduct regular safety and security drills</t>
  </si>
  <si>
    <t>Do most of health facilities in the locality conduct regular safety and security drills?</t>
  </si>
  <si>
    <t>2.82</t>
  </si>
  <si>
    <t>% of KIs reporting most health facilities have a incinerator designated for the management of biohazard refuse</t>
  </si>
  <si>
    <t>Does most of health facilities have a functional incinerator specifically designated for the management of biohazard refuse as part of its biosecurity measures?</t>
  </si>
  <si>
    <t>2.83</t>
  </si>
  <si>
    <t>% of KIs reporting health facilities have a designated safe area for emergencies</t>
  </si>
  <si>
    <t>Do most of health facilities in the locality have a designated safe area for emergencies?</t>
  </si>
  <si>
    <t>2.84</t>
  </si>
  <si>
    <t>% of KIs reporting on the health facility's contingency plans for emergencies or unforeseen events</t>
  </si>
  <si>
    <t>Do most of health facilities in the locality have contingency plans for emergencies or unforeseen events?</t>
  </si>
  <si>
    <t>2.85</t>
  </si>
  <si>
    <t>% of KIs reporting on the use of alternative or renewable energy sources in health facilities</t>
  </si>
  <si>
    <t>Do most of health facilities in the locality use alternative or renewable energy sources, such as photovoltaic panels, wind systems?</t>
  </si>
  <si>
    <t>2.86</t>
  </si>
  <si>
    <t>% of KIs reporting on the dependency of the health facilities on external sources for electricity</t>
  </si>
  <si>
    <t>Are most of health facilities in the locality dependent on external sources for electricity?</t>
  </si>
  <si>
    <t>2.87</t>
  </si>
  <si>
    <t>% of KIs reporting on the availability of gender separated latrines in health facilities</t>
  </si>
  <si>
    <t>Do most of health facilities in the locality have gender-separated latrines?</t>
  </si>
  <si>
    <t>2.88</t>
  </si>
  <si>
    <t>% of KIs reporting on the facilities or support for menstrual hygiene management in health facilities</t>
  </si>
  <si>
    <t>Do most of health facilities in the locality provide facilities or support for menstrual hygiene management?</t>
  </si>
  <si>
    <t>2.89</t>
  </si>
  <si>
    <t>% of KIs reporting that health facilities in the area have consistent water access</t>
  </si>
  <si>
    <t>Do most of health facilities in the locality have consistent access to water?</t>
  </si>
  <si>
    <t>2.90</t>
  </si>
  <si>
    <t>% of KI by reported reason why area health facilities do not have consistent access to water</t>
  </si>
  <si>
    <t>If most of health facilities in the locality do not have consistent access to water, what is the reason?</t>
  </si>
  <si>
    <t>Infrastructure damage, Lack of resources, [Other reasons], Don't know, Prefer not to answer</t>
  </si>
  <si>
    <t>2.91</t>
  </si>
  <si>
    <t>% of KIs noting a change in the types of health issues or diseases since the arrival of IDPs</t>
  </si>
  <si>
    <t>Have you noticed a change in the types of health issues or diseases since the arrival of internally displaced persons (IDPs)?</t>
  </si>
  <si>
    <t xml:space="preserve">Relevant in both protracted and sudden-onset crises, when the area is characterised by an influx of internally displaced persons or refugees. Keep the context carefully in mind: are there pre-existing tensions between communities that may be exacerbated by this type of questioning? What is the risk of having answers based on existing tensions instead of objective information?
This indicator refers to information that is better to gather through (or complemented by) semi-structured data collection tools and subsequent qualitative analysis for a deeper understanding (the question must be adapted for semi-structured tools, and not be used in semi-structured tool as it is). If qualitative data collection is not possible, those indicators must be adapted to the context and several structured questions - with an appropriate follow up and skip logic - might be asked to collecting data on the same indicator. </t>
  </si>
  <si>
    <t>2.92</t>
  </si>
  <si>
    <t>% of KIs identifying health facilities that have been repurposed or expanded to accommodate IDP needs</t>
  </si>
  <si>
    <t>Have any health facilities been repurposed or expanded to accommodate the needs of IDPs?</t>
  </si>
  <si>
    <t>Yes [Specify], No, Don't know, Prefer not to answer</t>
  </si>
  <si>
    <t>2.93</t>
  </si>
  <si>
    <t>% of KIs reporting health awareness or vaccination campaigns specifically for IDPs</t>
  </si>
  <si>
    <t>Have there been any health awareness or vaccination campaigns specifically for IDPs?</t>
  </si>
  <si>
    <t>Relevant in both protracted and sudden-onset crises, when the area is characterised by an influx of internally displaced persons or refugees. Keep the context carefully in mind: are there pre-existing tensions between communities that may be exacerbated by this type of questioning? What is the risk of having answers based on existing tensions instead of objective information?</t>
  </si>
  <si>
    <t>2.94</t>
  </si>
  <si>
    <t>% of KIs reporting collaborations between local stakeholders and external entities for healthcare provision for IDPs</t>
  </si>
  <si>
    <t>Are there collaborations between local stakeholders and external entities for healthcare provision for IDPs?</t>
  </si>
  <si>
    <t>2.95</t>
  </si>
  <si>
    <t>% of KIs reporting an increase in patient intake or extended waiting times in health facilities since the arrival of IDPs</t>
  </si>
  <si>
    <t>Since the arrival of IDPs, have most of health facilities experienced an increase in patient intake or extended waiting times?</t>
  </si>
  <si>
    <t>2.96</t>
  </si>
  <si>
    <t>% of KIs reporting that there are households eligible for free medical care, by profile</t>
  </si>
  <si>
    <t>Are there specific households in the locality that are eligible for free medical care?</t>
  </si>
  <si>
    <t>Yes [Specify profile, e.g., low-income, IDPs], No, Don't know, Prefer not to answer</t>
  </si>
  <si>
    <t>2.97</t>
  </si>
  <si>
    <t>% of KIs reporting that there are individuals eligible for free medical care, by profile</t>
  </si>
  <si>
    <t>Are there specific individuals in the locality that are eligible for free medical care?</t>
  </si>
  <si>
    <t>Yes [Specify profile, e.g., elderly, children], No, Don't know</t>
  </si>
  <si>
    <t>2.98</t>
  </si>
  <si>
    <t>% of KIs reporting on the inclusion practices in health facilities for marginalized groups, by type of practice</t>
  </si>
  <si>
    <t>Do most of health facilities in the locality have inclusion practices for marginalized groups?</t>
  </si>
  <si>
    <t>Yes [Specify practices, e.g., sign language interpreters, ramps, interpreters for linguistic minorities], No, Don't know, Prefer not to answer</t>
  </si>
  <si>
    <t>2.99</t>
  </si>
  <si>
    <t>% of KIs reporting on the presence of gender-sensitive healthcare services</t>
  </si>
  <si>
    <t>Do most of health facilities in the locality offer gender-sensitive healthcare services?</t>
  </si>
  <si>
    <t>2.100</t>
  </si>
  <si>
    <t>% of KIs reporting that health facilities have a mechanism to gather feedback from patients</t>
  </si>
  <si>
    <t>Do most of health facilities in the locality have a mechanism to gather feedback from patients?</t>
  </si>
  <si>
    <t>2.101</t>
  </si>
  <si>
    <t>% of KIs reporting on the involvement of patients and community members in health facility decisions</t>
  </si>
  <si>
    <t>Are patients and community members involved in decisions related to health facilities?</t>
  </si>
  <si>
    <t>2.102</t>
  </si>
  <si>
    <t>% of KIs reporting on the health facility's strategies for improving patient care and satisfaction</t>
  </si>
  <si>
    <t>Do most of health facilities in the locality have strategies for improving patient care and satisfaction?</t>
  </si>
  <si>
    <t>Yes [Specify strategies], No, Don't know, Prefer not to answer</t>
  </si>
  <si>
    <t>2.103</t>
  </si>
  <si>
    <t>% of KIs reporting on the presence of women medical staff in health facilities</t>
  </si>
  <si>
    <t>Are there women medical staff present in most of health facilities in the locality?</t>
  </si>
  <si>
    <t>2.104</t>
  </si>
  <si>
    <t>% of KIs reporting on the challenges faced by women medical staff in health facilities</t>
  </si>
  <si>
    <t>Do most of women medical staff in health facilities face any challenges?</t>
  </si>
  <si>
    <t>Yes [Specify challenges], No, Don't know, Prefer not to answer</t>
  </si>
  <si>
    <t>2.105</t>
  </si>
  <si>
    <t>% of KIs reporting on the initiatives or programs ppromoting the inclusion of women in medical professions</t>
  </si>
  <si>
    <t>Are there any initiatives or programs in the locality that promote the inclusion of women in medical professions?</t>
  </si>
  <si>
    <t>Mentorship programs for female medical professionals, Gender equality awareness campaigns in medical institutions, Specialized training programs for women in specific medical fields, Recruitment drives targeting female medical professionals, [Other context-specific programs/initiatives], No such programs/initiatives, Don't know, Prefer not to answer</t>
  </si>
  <si>
    <t>2.106</t>
  </si>
  <si>
    <t>% of KIs by reported strategies used by health facilities to promote health and prevent diseases</t>
  </si>
  <si>
    <t>What strategies do most of health facilities in the locality use to promote health and prevent diseases?</t>
  </si>
  <si>
    <t>Health awareness campaigns, Vaccination drives, Health check-up camps, [Other strategies], Don't know, Prefer not to answer</t>
  </si>
  <si>
    <t>2.107</t>
  </si>
  <si>
    <t>% of KIs by primary sources of funding for health facilities</t>
  </si>
  <si>
    <t>What are the primary sources of funding for health facilities in the locality?</t>
  </si>
  <si>
    <t>Government, Donations, Patient fees, [Other sources], Don't know, Prefer not to answer</t>
  </si>
  <si>
    <t>2.108</t>
  </si>
  <si>
    <t>% of KIs reporting on the training programs available for medical staff</t>
  </si>
  <si>
    <t>Are there training programs available for medical staff in the locality?</t>
  </si>
  <si>
    <t>Yes [Specify programs], No, Don't know, Prefer not to answer</t>
  </si>
  <si>
    <t>2.109</t>
  </si>
  <si>
    <t>% of KIs reporting on the presence of continuous professional development programs for medical staff</t>
  </si>
  <si>
    <t>Are there continuous professional development programs for medical staff in the locality?</t>
  </si>
  <si>
    <t>2.110.1</t>
  </si>
  <si>
    <t>% of KIs reporting steps being taken to improve healthcare in the area, by type of step and effectiveness</t>
  </si>
  <si>
    <t>What steps are being taken to improve healthcare in the locality and how effective are they?</t>
  </si>
  <si>
    <t>[Specify steps and rate effectiveness], Don't know, Prefer not to answer</t>
  </si>
  <si>
    <t>2.110.2</t>
  </si>
  <si>
    <t>Top reasons why steps to improve healthcare are not effective</t>
  </si>
  <si>
    <t>What are the top reasons why steps to improve healthcare are not effective?</t>
  </si>
  <si>
    <t>Lack of funding, Lack of trained staff, Infrastructure issues, [Other reasons], Don't know, Prefer not to answer</t>
  </si>
  <si>
    <t>2.111</t>
  </si>
  <si>
    <t>Priority Needs</t>
  </si>
  <si>
    <t>% of KIs identifying the level of healthcare most urgently needed in the locality</t>
  </si>
  <si>
    <t>What level of healthcare is most urgently needed in the locality?</t>
  </si>
  <si>
    <t>Primary care, Secondary care, Tertiary care, Rehabilitation services, [Other levels], Don't know, Prefer not to answer</t>
  </si>
  <si>
    <t>2.112</t>
  </si>
  <si>
    <t>% of KIs reporting public healthcare facilities have shortages, by type of shortage (medical staff, equipment, medicine)</t>
  </si>
  <si>
    <t>In your knowledge, do public healthcare facilities in the area face any shortages?</t>
  </si>
  <si>
    <t>Shortage of medical staff, Shortage of equipment, Shortage of medicine, No shortages, Don't know, Prefer not to answer</t>
  </si>
  <si>
    <t>2.113</t>
  </si>
  <si>
    <t>% of KIs reporting health facilities lacking essential facilities (clean water, electricity, etc), by type of facility</t>
  </si>
  <si>
    <t>Are most of health facilities in the area that lack essential facilities?</t>
  </si>
  <si>
    <t>Lack of clean water, Lack of consistent electricity, Lack of sanitation facilities, No such issues, Don't know, Prefer not to answer</t>
  </si>
  <si>
    <t>2.114</t>
  </si>
  <si>
    <t>% of KIs reporting that health facilities in the area are overcrowded</t>
  </si>
  <si>
    <t>Are most of health facilities in the locality overcrowded?</t>
  </si>
  <si>
    <t>2.115</t>
  </si>
  <si>
    <t>% of KIs reporting that health facilities in the area are lacking qualified medical professionals</t>
  </si>
  <si>
    <t>In the last X months, were most of health facilities in the locality lacking qualified medical personnel?</t>
  </si>
  <si>
    <t>2.116</t>
  </si>
  <si>
    <t>% of KIs reporting health facilities are facing financial challenges</t>
  </si>
  <si>
    <t>In the last X months, have most of health facilities in the locality faced financial challenges?</t>
  </si>
  <si>
    <t>2.117.1</t>
  </si>
  <si>
    <t>% of KIs reporting collaborations between health facilities and external stakeholders, by type of stakeholders</t>
  </si>
  <si>
    <t>Are there collaborations between health facilities and external stakeholders in the locality? If yes, which stakeholders?</t>
  </si>
  <si>
    <t>Government agencies, NGOs, International organizations, [Other stakeholders], No, Don't know, Prefer not to answer</t>
  </si>
  <si>
    <t>2.117.2</t>
  </si>
  <si>
    <t>% of KIs reporting collaborations between health facilities and external stakeholders, by type of collaboration</t>
  </si>
  <si>
    <t>What type of collaborations exist between health facilities and external stakeholders in the locality?</t>
  </si>
  <si>
    <t>Funding, Training, Equipment supply, [Other types of collaboration], None, Don't know, Prefer not to answer</t>
  </si>
  <si>
    <t>2.118</t>
  </si>
  <si>
    <t>% of KIs aware of official eviction procedures</t>
  </si>
  <si>
    <t>Are you aware of the official eviction procedures in the area?</t>
  </si>
  <si>
    <t>2.119</t>
  </si>
  <si>
    <t>% of KIs by identified informal or traditional eviction practices</t>
  </si>
  <si>
    <t>Are you aware of any informal or traditional eviction practices in the area?</t>
  </si>
  <si>
    <t>Verbal agreements without written notice, Community-led decisions without legal proceedings, Traditional tribal or elder council decisions, Forceful removal without prior notice, Use of intimidation or threats, [other contextualised choices], Other (specify), No, Don’t know, Prefer to not answer</t>
  </si>
  <si>
    <t>2.120</t>
  </si>
  <si>
    <t>% of KIs by known tenant protections against eviction</t>
  </si>
  <si>
    <t>Are you aware of any protections for tenants against eviction?</t>
  </si>
  <si>
    <t xml:space="preserve">Written lease agreements specifying eviction terms, Legal requirement for landlords to provide written notice, Mandatory mediation or arbitration before eviction, Rent control or stabilization laws, Prohibition of eviction without just cause, Tenant unions or associations advocating for tenant rights, [contextualised choices], Other (specify), No, Don’t know, Prefer to not answer, </t>
  </si>
  <si>
    <t>2.121</t>
  </si>
  <si>
    <t>% of KIs aware of official land expropriation procedures</t>
  </si>
  <si>
    <t>Are you aware of the official land expropriation procedures?</t>
  </si>
  <si>
    <t>2.122</t>
  </si>
  <si>
    <t>% of KIs by compensation methods for expropriated land</t>
  </si>
  <si>
    <t>What are the known compensation methods for expropriated land in the area?</t>
  </si>
  <si>
    <t>Monetary compensation, Land-for-land compensation, Other (please specify)</t>
  </si>
  <si>
    <t>2.123</t>
  </si>
  <si>
    <t>Impact of Crisis</t>
  </si>
  <si>
    <t>% of KIs by identified land disputes arising from crises</t>
  </si>
  <si>
    <t>Are you aware of any land disputes arising from recent crises?</t>
  </si>
  <si>
    <t>2.124</t>
  </si>
  <si>
    <t>% of KIs by identified effects of crises on land value or use</t>
  </si>
  <si>
    <t>Have there been any effects of recent crises on land value or use?</t>
  </si>
  <si>
    <t>Decrease in land value, Increase in land value, Change in land use, No effect, Other (please specify)</t>
  </si>
  <si>
    <t>2.125</t>
  </si>
  <si>
    <t>% of KIs by reported instances of landowner or occupant displacement due to crises</t>
  </si>
  <si>
    <t>Have there been instances of landowner or occupant displacement due to recent crises?</t>
  </si>
  <si>
    <t>2.126</t>
  </si>
  <si>
    <t>% of KIs noting a change in property ownership patterns since the arrival of IDPs</t>
  </si>
  <si>
    <t>Have you noticed a change in property ownership patterns since the arrival of internally displaced persons (IDPs)?</t>
  </si>
  <si>
    <t>2.127</t>
  </si>
  <si>
    <t>% of KIs identifying areas where land has been appropriated or reallocated for IDP use</t>
  </si>
  <si>
    <t>Are there areas where land has been appropriated or reallocated for IDP use?</t>
  </si>
  <si>
    <t>Yes Temporary IDP camps, Yes Government-allocated resettlement zones, Yes Community-shared lands, Yes Private lands leased for IDP use, [other], No, Don't know, Prefer to not answer</t>
  </si>
  <si>
    <t>2.128</t>
  </si>
  <si>
    <t>% of KIs reporting the legal frameworks in place to address HLP disputes involving IDPs</t>
  </si>
  <si>
    <t>Are there legal frameworks in place to address housing, land, or property disputes involving IDPs?</t>
  </si>
  <si>
    <t>National IDP protection laws, Local by-laws addressing IDP land rights, Traditional or customary laws, International conventions ratified by the country, [other], No, Don't know, Prefer to not answer</t>
  </si>
  <si>
    <t>2.129</t>
  </si>
  <si>
    <t>% of KIs noting any initiatives to provide legal support or mediation for HLP issues involving IDPs</t>
  </si>
  <si>
    <t>Are there initiatives to provide legal support or mediation for housing, land, or property issues involving IDPs?</t>
  </si>
  <si>
    <t>Government-sponsored legal aid programs, NGO-led mediation initiatives, Community dispute resolution committees, International agency support programs, No, , Don't know, Prefer to not answer</t>
  </si>
  <si>
    <t>2.130</t>
  </si>
  <si>
    <t>% of KIs identifying areas where IDPs have been provided land or property rights</t>
  </si>
  <si>
    <t>Are there areas where IDPs have been provided land or property rights?</t>
  </si>
  <si>
    <t>Government-allocated permanent settlements, Community-integrated housing projects, Land grants or leases, Property restitution initiatives, No, Don't know, Prefer to not answer</t>
  </si>
  <si>
    <t>2.131</t>
  </si>
  <si>
    <t>% of KIs by recognized traditional land allocation procedures</t>
  </si>
  <si>
    <t>Are you aware of traditional land allocation procedures in the area?</t>
  </si>
  <si>
    <t xml:space="preserve"> Ethnic or Clan-based allocations, Elder council decisions, Generational inheritance, [other contextualised] No, Don't know, Prefer not to answer</t>
  </si>
  <si>
    <t>2.132</t>
  </si>
  <si>
    <t>% of KIs by mentioned types of oral land agreements</t>
  </si>
  <si>
    <t>Are there types of oral land agreements recognized in the area?</t>
  </si>
  <si>
    <t>Verbal family agreements, Community elder endorsements, Oral lease agreements, Traditional land-sharing pacts, [other contextualised], No, Don't know, Prefer not to answer</t>
  </si>
  <si>
    <t>2.133</t>
  </si>
  <si>
    <t>% of KIs by type of land agreements (oral vs written)</t>
  </si>
  <si>
    <t>What type of land agreements are more common in the area?</t>
  </si>
  <si>
    <t>Oral, Written, Both, Don't know, Prefer to not answer</t>
  </si>
  <si>
    <t>2.134</t>
  </si>
  <si>
    <t>% of KIs confirming local authority recognition of customary land rights</t>
  </si>
  <si>
    <t>Do local authorities recognize customary land rights?</t>
  </si>
  <si>
    <t>2.135</t>
  </si>
  <si>
    <t>% of KIs by common land disputes type in the area</t>
  </si>
  <si>
    <t>What are the common land disputes types in the area?</t>
  </si>
  <si>
    <t>Boundary disputes, Ownership disputes, Inheritance disputes, Access disputes, Other (please specify), Don't know, Prefer to not answer</t>
  </si>
  <si>
    <t>2.136.1</t>
  </si>
  <si>
    <t>% of KIs by specified available land dispute resolution mechanisms</t>
  </si>
  <si>
    <t>What land dispute resolution mechanisms are available in the area?</t>
  </si>
  <si>
    <t>Formal courts, Traditional leaders, Mediation, Other (please specify), Don't know, Prefer to not answer</t>
  </si>
  <si>
    <t>2.136.2</t>
  </si>
  <si>
    <t>% of KIs by rated effectiveness of land dispute resolution mechanisms</t>
  </si>
  <si>
    <t>How would you rate the effectiveness of land dispute resolution mechanisms in the area?</t>
  </si>
  <si>
    <t>Very effective, Somewhat effective, Not effective, Don't know, Prefer to not answer</t>
  </si>
  <si>
    <t>2.137</t>
  </si>
  <si>
    <t>% of KIs aware of formal institutions addressing land disputes</t>
  </si>
  <si>
    <t>Are you aware of formal institutions addressing land disputes in the area?</t>
  </si>
  <si>
    <t>Land courts, Municipal land offices, National land commission, Property dispute tribunals, No, Don't know, Prefer to not answer</t>
  </si>
  <si>
    <t>2.138</t>
  </si>
  <si>
    <t>Average time for land dispute resolution as reported by KIs</t>
  </si>
  <si>
    <t>On average, how long does it take to resolve a land dispute in the area?</t>
  </si>
  <si>
    <t>Less than a month, 1-3 months, 3-6 months, More than 6 months, Don't know, Prefer to not answer</t>
  </si>
  <si>
    <t>2.139</t>
  </si>
  <si>
    <t>Land Use</t>
  </si>
  <si>
    <t>% of KIs familiar with land zoning regulations or plans</t>
  </si>
  <si>
    <t>Are you familiar with land zoning regulations or plans in the area?</t>
  </si>
  <si>
    <t>2.140</t>
  </si>
  <si>
    <t>% of KIs by known land/housing agreements for refugees</t>
  </si>
  <si>
    <t>Are you aware of any land/housing agreements for refugees in the area?</t>
  </si>
  <si>
    <t>Yes (please specify), No, Don't know, Prefer to not answer</t>
  </si>
  <si>
    <t>2.141</t>
  </si>
  <si>
    <t>% of KIs by known land/housing agreements for IDPs</t>
  </si>
  <si>
    <t>Are you aware of any land/housing agreements for internally displaced persons in the area?</t>
  </si>
  <si>
    <t>2.142</t>
  </si>
  <si>
    <t>% of KIs by specified terms and conditions of land use for refugees and IDPs</t>
  </si>
  <si>
    <t>What are the terms and conditions of land use for refugees and IDPs in the area?</t>
  </si>
  <si>
    <t>Temporary use, Permanent ownership, Lease, Other (please specify)</t>
  </si>
  <si>
    <t>2.143</t>
  </si>
  <si>
    <t>Stakeholder Engagement</t>
  </si>
  <si>
    <t>% of KIs by specified local authority roles in land management decisions</t>
  </si>
  <si>
    <t>What roles do local authorities play in land management decisions?</t>
  </si>
  <si>
    <t>Zoning, Land allocation, Dispute resolution, None, Other (please specify),  Don't know, Prefer to not answer</t>
  </si>
  <si>
    <t>2.144</t>
  </si>
  <si>
    <t>% of KIs by specified technical department roles in land management decisions</t>
  </si>
  <si>
    <t>What roles do technical departments play in land management decisions?</t>
  </si>
  <si>
    <t>Surveying, Land registration, Urban planning, Other (please specify), Don't know, Prefer to not answer</t>
  </si>
  <si>
    <t>2.145</t>
  </si>
  <si>
    <t>% of KIs by rated influence of traditional leaders in land matters</t>
  </si>
  <si>
    <t>How influential are traditional leaders in land matters?</t>
  </si>
  <si>
    <t>Very influential, Somewhat influential, Not influential, Don't know, Prefer to not answer</t>
  </si>
  <si>
    <t>2.146</t>
  </si>
  <si>
    <t>% of KIs by external factors affecting livelihoods (security, political stability, etc)</t>
  </si>
  <si>
    <t>What external factors affect livelihoods in the area?</t>
  </si>
  <si>
    <t>Security concerns, Political instability, Natural disasters, [other contextualised choices], Other (please specify), Don't know, Prefer to not answer</t>
  </si>
  <si>
    <t>2.147</t>
  </si>
  <si>
    <t>Business Dynamics</t>
  </si>
  <si>
    <t>% of KIs reporting presence of collectives organized around business ownership, by type (eg, cooperatives or self-help groups)</t>
  </si>
  <si>
    <t>Are there collectives organized around business ownership in the area?</t>
  </si>
  <si>
    <t>Cooperatives, Self-help groups, [other contextualised choices], Other (please specify), No, Don't know, Prefer to not answer</t>
  </si>
  <si>
    <t>2.148</t>
  </si>
  <si>
    <t>% of KIs by types of business sectors owned by people in the area</t>
  </si>
  <si>
    <t>What are the main sectors in which small businesses are active?</t>
  </si>
  <si>
    <t>Agriculture, Retail, Manufacturing, [other contextualised choices], Other (please specify), Don't know, Prefer to not answer</t>
  </si>
  <si>
    <t>2.149</t>
  </si>
  <si>
    <t>% of KIs identifying absent services or goods that are needed in the area.</t>
  </si>
  <si>
    <t>What services or goods are not available but needed in the area?</t>
  </si>
  <si>
    <t>Banking and credit services, Veterinary services, Agricultural inputs, Repair services, [other contextualised choices], Other (please specify), Don't know, Prefer to not answer</t>
  </si>
  <si>
    <t>2.150</t>
  </si>
  <si>
    <t>% of KIs reporting the share of women owning existing business</t>
  </si>
  <si>
    <t>What is the share of women owning existing business in this locality?</t>
  </si>
  <si>
    <t>2.151</t>
  </si>
  <si>
    <t>Main reported sector where business owned by women are present</t>
  </si>
  <si>
    <t>What are the three main sectors where business owned by women are present?</t>
  </si>
  <si>
    <t>Agriculture, Retail, Manufacturing, [other contextualised and specific choices], Other (please specify), Don't know, Prefer to not answer</t>
  </si>
  <si>
    <t>2.152</t>
  </si>
  <si>
    <t>% of KI for challenges faced by women in running their own business</t>
  </si>
  <si>
    <t>What are the three main challenges women face to run their own business?</t>
  </si>
  <si>
    <t>Lack of capital, Lack of training, Cultural barriers, [other contextualised choices], Other (please specify), None, Don't know, Prefer to not answer</t>
  </si>
  <si>
    <t>2.153</t>
  </si>
  <si>
    <t>% of KIs by actions taken by residents to cope with economic challenges</t>
  </si>
  <si>
    <t>What actions have residents taken to cope with economic challenges?</t>
  </si>
  <si>
    <t>Borrowing money (lanes in financial services), Selling assets and livestock, Reduction of purchases (low presence in marketplaces), [Other choices based on population's visible behavioural change and tailored to the context], Other (please specify), Don't know, Prefer to not answer</t>
  </si>
  <si>
    <t xml:space="preserve">Other choices based on visible behavioural change of the population by KIs and adapted to the context.
This indicator refers to information that is better to gather through (or complemented by) semi-structured data collection tools and subsequent qualitative analysis for a deeper understanding (the question must be adapted for semi-structured tools, and not be used in semi-structured tool as it is). If qualitative data collection is not possible, those indicators must be adapted to the context and several structured questions - with an appropriate follow up and skip logic - might be asked to collecting data on the same indicator. </t>
  </si>
  <si>
    <t>2.154</t>
  </si>
  <si>
    <t>Support</t>
  </si>
  <si>
    <t>% of KIs reporting the availability of social support for households with insufficient income</t>
  </si>
  <si>
    <t>What support is available for households with insufficient income?</t>
  </si>
  <si>
    <t>Government aid, NGOs aid, Community support, [other contextualised choices], Other (please specify), Don't know, Prefer to not answer</t>
  </si>
  <si>
    <t>2.155</t>
  </si>
  <si>
    <t>top 3 barriers to finding employment</t>
  </si>
  <si>
    <t>What are the top barriers [Host population/IDPs/Refugees/Returnees/Migrants/Minorities/Youth/Women - other relevant group] face in finding employment?</t>
  </si>
  <si>
    <t xml:space="preserve">Ask for each relevant population group.
This indicator refers to information that is better to gather through (or complemented by) semi-structured data collection tools and subsequent qualitative analysis for a deeper understanding (the question must be adapted for semi-structured tools, and not be used in semi-structured tool as it is). If qualitative data collection is not possible, those indicators must be adapted to the context and several structured questions - with an appropriate follow up and skip logic - might be asked to collecting data on the same indicator. </t>
  </si>
  <si>
    <t>2.156</t>
  </si>
  <si>
    <t>% of KIs noting a change in local livelihood opportunities since the arrival of IDPs</t>
  </si>
  <si>
    <t>Have there been changes in local livelihood opportunities since the arrival of IDPs? CHECK NOTE</t>
  </si>
  <si>
    <t>Increased, Decreased, Remained the same, Don't know, Prefer to not answer</t>
  </si>
  <si>
    <t>2.157</t>
  </si>
  <si>
    <t>% of KIs identifying areas or sectors where IDPs have introduced new skills or expertise</t>
  </si>
  <si>
    <t>Have IDPs introduced new skills or expertise in certain areas or sectors?</t>
  </si>
  <si>
    <t>Yes (specify), No, Other, Don't know, Prefer to not answer</t>
  </si>
  <si>
    <t>2.158</t>
  </si>
  <si>
    <t>% of KIs by reported initiatives or programs aimed at integrating IDPs into local livelihood systems</t>
  </si>
  <si>
    <t>Are there initiatives or programs aimed at integrating IDPs into local livelihood systems?</t>
  </si>
  <si>
    <t>Yes (please specify type), [other contextualised choices], No, Other (please specify), Don't know, Prefer to not answer</t>
  </si>
  <si>
    <t xml:space="preserve">Relevant in both protracted and sudden-onset crises, when the area is characterised by an influx of internally displaced persons or refugees. Keep the context carefully in mind: are there pre-existing tensions between This indicator refers to information that is better to gather through (or complemented by) semi-structured data collection tools and subsequent qualitative analysis for a deeper understanding (the question must be adapted for semi-structured tools, and not be used in semi-structured tool as it is). If qualitative data collection is not possible, those indicators must be adapted to the context and several structured questions - with an appropriate follow up and skip logic - might be asked to collecting data on the same indicator. </t>
  </si>
  <si>
    <t>2.159</t>
  </si>
  <si>
    <t>% of KIs reporting collaborations between local stakeholders and external entities for livelihood integration of IDPs</t>
  </si>
  <si>
    <t>Are there collaborations between local stakeholders and external entities for livelihood integration of IDPs?</t>
  </si>
  <si>
    <t>Vocational training programs, Agricultural support initiatives, Microfinance and loan programs, Local employment placement services, Entrepreneurship and business start-up support, Craftsmanship and artisanal workshops, Educational scholarships for IDPs, Market linkage and value chain integration programs, Community-based cooperative initiatives, [other contextualised choices], No, Other (please specify), Don't know, Prefer to not answer</t>
  </si>
  <si>
    <t>2.160</t>
  </si>
  <si>
    <t>% of KIs reporting changes in local job market dynamics or employment rates since the arrival of IDPs</t>
  </si>
  <si>
    <t>Have there been changes in local job market dynamics or employment rates since the arrival of IDPs? CHECJ NOTE</t>
  </si>
  <si>
    <t>Increased employment rates, Decreased employment rates, No change in employment rates, Increased competition for jobs, Decreased competition for jobs, [other contextualised choices], No, Other (please specify), Don't know, Prefer to not answer</t>
  </si>
  <si>
    <t xml:space="preserve">Relevant in both protracted and sudden-onset crises, when the area is characterised by an influx of internally displaced persons or refugees. Keep the context carefully in mind: are there pre-existing tensions between communities that may be exacerbated by this type of questioning? What is the risk of having answers based on these tensions instead of objective information?
This indicator refers to information that is better to gather through (or complemented by) semi-structured data collection tools and subsequent qualitative analysis for a deeper understanding (the question must be adapted for semi-structured tools, and not be used in semi-structured tool as it is). If qualitative data collection is not possible, those indicators must be adapted to the context and several structured questions - with an appropriate follow up and skip logic - might be asked to collecting data on the same indicator. </t>
  </si>
  <si>
    <t>2.161</t>
  </si>
  <si>
    <t>Labor Market</t>
  </si>
  <si>
    <t>% of KIs by types of jobs the local labor market can offer</t>
  </si>
  <si>
    <t>What types of jobs can the local labor market offer?</t>
  </si>
  <si>
    <t>Skilled, Unskilled, Professional, [other contextualised choices], Other (please specify), Don't know, Prefer to not answer</t>
  </si>
  <si>
    <t>2.162</t>
  </si>
  <si>
    <t>% of KIs by sectors experiencing labor shortages</t>
  </si>
  <si>
    <t>Which sectors are experiencing labor shortages?</t>
  </si>
  <si>
    <t>Agriculture, Manufacturing, Services, [other contextualised choices], Other (please specify), Don't know, Prefer to not answer</t>
  </si>
  <si>
    <t>2.163</t>
  </si>
  <si>
    <t>% of KIs by sectors with an oversupply of labor</t>
  </si>
  <si>
    <t>Which sectors have an oversupply of labor?</t>
  </si>
  <si>
    <t>2.164</t>
  </si>
  <si>
    <t>% of KIs by average wage levels across different sectors</t>
  </si>
  <si>
    <t>What are the average wage levels across different sectors in the area?</t>
  </si>
  <si>
    <t>Enter an integer for each of the following:
1. Agriculture
2. Manufacturing
3. Services
[other contextualised choices]</t>
  </si>
  <si>
    <t>2.165</t>
  </si>
  <si>
    <t>Production Facilities</t>
  </si>
  <si>
    <t>% of KIs by types of factories operating in the area or its vicinity</t>
  </si>
  <si>
    <t>What kind of factories are operating in the area or its vicinity?</t>
  </si>
  <si>
    <t>Textile and Apparel Factories, Food Processing Plants, Electronics and Appliance Manufacturing, Metal and Steel Production, Furniture and Woodworking Factories, Plastic and Rubber Production, Ceramics and Glass Manufacturing, [other contextualised], None, Other (please specify), Don't know, Prefer to not answer</t>
  </si>
  <si>
    <t>2.166.1</t>
  </si>
  <si>
    <t>Availability of production, services and inputs</t>
  </si>
  <si>
    <t>Main reported raw materials and other production inputs in the area</t>
  </si>
  <si>
    <t xml:space="preserve">How would you rate the availability of following raw materials, production and inputs in the area? Please align to this score system: 1 = Scarce; 2 = Enough; 3 = Plenty; 4 = Abundant, </t>
  </si>
  <si>
    <t>ILO</t>
  </si>
  <si>
    <t>The list can be expanded according to the context</t>
  </si>
  <si>
    <t>2.166.2</t>
  </si>
  <si>
    <t>Crop production</t>
  </si>
  <si>
    <t>Give a score for all of following
Land ____
Fertilizers ____
Seed supply ____
Machinery ____
[contextualised choices] ____
Don't know
Prefers to not answer</t>
  </si>
  <si>
    <t>2.166.3</t>
  </si>
  <si>
    <t>Livestock</t>
  </si>
  <si>
    <t>Give a score for all of following
Animale ____
Young ____
Animal feed ____
Veterinary supplies ____
[contextualised choices] ____
Don't know
Prefers to not answer</t>
  </si>
  <si>
    <t>2.166.4</t>
  </si>
  <si>
    <t>Fishing</t>
  </si>
  <si>
    <t>Give a score for all of following
Boats ____
Fish source ____
Nets ____
Engines ____
[contextualised choices] ____
Don't know
Prefers to not answer</t>
  </si>
  <si>
    <t>2.166.5</t>
  </si>
  <si>
    <t>Forestry</t>
  </si>
  <si>
    <t>Give a score for all of following
Soft woods ____
Hard woods ____
Tools ____
[contextualised choices] ____
Don't know
Prefers to not answer</t>
  </si>
  <si>
    <t>2.166.6</t>
  </si>
  <si>
    <t>Food processing</t>
  </si>
  <si>
    <t>Give a score for all of following
Mills ____
Cold stores ____
Tools ____
Processing materials ____
[contextualised choices] ____
Don't know
Prefers to not answer</t>
  </si>
  <si>
    <t>2.166.7</t>
  </si>
  <si>
    <t>Crafts</t>
  </si>
  <si>
    <t>Give a score for all of following
Raw materials ____
Tools ____
Workshops ____
[contextualised choices] ____Don't know
Prefers to not answer</t>
  </si>
  <si>
    <t>2.166.8</t>
  </si>
  <si>
    <t>Clothing</t>
  </si>
  <si>
    <t>Give a score for all of following
Cloth ____
Tools ____
Workshop ____
[contextualised choices] ____
Don't know
Prefers to not answer</t>
  </si>
  <si>
    <t>2.166.9</t>
  </si>
  <si>
    <t>Mining</t>
  </si>
  <si>
    <t>Give a score for all of following
Minerals ____
Tools ____
Equipment ____
Safety equipment ____
Transportation infrastructures ____
[contextualised choices] ____
Don't know
Prefers to not answer</t>
  </si>
  <si>
    <t>2.166.10</t>
  </si>
  <si>
    <t>Services</t>
  </si>
  <si>
    <t>Give a score for all of following
Repair shop ____
Construction ____
[contextualised choices] ____
Don't know
Prefers to not answer</t>
  </si>
  <si>
    <t>The list can be expanded according to the context. In urban context different types of services should be distinguished.</t>
  </si>
  <si>
    <t>2.166.11</t>
  </si>
  <si>
    <t>Other contextualised sectors</t>
  </si>
  <si>
    <t>Give a score for all of following
[contextualised choices] ____
Don't know
Prefers to not answer</t>
  </si>
  <si>
    <t>2.167.1</t>
  </si>
  <si>
    <t>Market opportunities</t>
  </si>
  <si>
    <t>% of KIs reporting unsatisfied demand, by service or product</t>
  </si>
  <si>
    <t>Are there situations when producers/sellers are not able to meet the demand of some of current or potential customers for the [product name]?</t>
  </si>
  <si>
    <t>This set of question can be adapted and asked to different KI profiles to have a general overview or a more granular one when asked to producers of different products</t>
  </si>
  <si>
    <t>2.167.2</t>
  </si>
  <si>
    <t>Reasons for inability to satisfy demand</t>
  </si>
  <si>
    <t>What do you see as the reason(s) for producers/sellers not being able to supply the demands of all your current or potential customers?</t>
  </si>
  <si>
    <t>Lack of raw materials, not enough sources for raw materials, lack of finances to buy raw materials, difficulties in transporting raw materials, lack of tools/equipment, outdated/old implements, not enough implements to produce more, not enough sources to buy more implements, lack of finance to buy more implements, needs of more workers, high cost of production, low quality of the product, other, don't know, prefer to not answer</t>
  </si>
  <si>
    <t>2.167.3</t>
  </si>
  <si>
    <t>% of KIs reporting willingness of expanding production activities, by type of product</t>
  </si>
  <si>
    <t>Is there the willingness to expand the production of [product]?</t>
  </si>
  <si>
    <t>2.167.4</t>
  </si>
  <si>
    <t>% of KIs reporting on needs for expansion of current productions</t>
  </si>
  <si>
    <t>In case of expansion, what would be needed?</t>
  </si>
  <si>
    <t>Additional workers, Training for current workers, No additional workers or training, Financing, Technical Assistance, Other specify, don't know, prefer to not answer</t>
  </si>
  <si>
    <t>2.168</t>
  </si>
  <si>
    <t>% of KIs by availability and types of vocational training opportunities in the area</t>
  </si>
  <si>
    <t>Are there vocational training opportunities available in the area?</t>
  </si>
  <si>
    <t>2.169</t>
  </si>
  <si>
    <t>Social Support</t>
  </si>
  <si>
    <t>% of KIs by primary sources of social support for households with insufficient income</t>
  </si>
  <si>
    <t>What are the primary sources of social support for households with insufficient income in the area?</t>
  </si>
  <si>
    <t>Government aid, NGOs, Community support, [other contextualised choices], Other (please specify), Don't know, Prefer to not answer</t>
  </si>
  <si>
    <t>2.170</t>
  </si>
  <si>
    <t>% of KIs reporting the involvement of local government in formulating and implementing policies promoting private sector development</t>
  </si>
  <si>
    <t>Is the local government involved in formulating and implementing policies promoting private sector development?</t>
  </si>
  <si>
    <t>2.171</t>
  </si>
  <si>
    <t>% of KIs reporting the presence of actors working on livelihood projects in the area, by type of actor</t>
  </si>
  <si>
    <t>Are there actors working on livelihood projects in the area? If yes, what type of actor?</t>
  </si>
  <si>
    <t>NGOs, Government agencies, International organizations, [other contextualised choices], Other (please specify), Don't know, Prefer to not answer</t>
  </si>
  <si>
    <t>2.172</t>
  </si>
  <si>
    <t>Trade and Commerce</t>
  </si>
  <si>
    <t>% of KIs by primary trade routes used by the community</t>
  </si>
  <si>
    <t>What are the common trade routes used by traders?</t>
  </si>
  <si>
    <t>Select product [product list] and origin [list of localities]</t>
  </si>
  <si>
    <t>2.173</t>
  </si>
  <si>
    <t>% of KIs by primary modes of transportation used for trade and commerce</t>
  </si>
  <si>
    <t>What are the primary modes of transportation used for trade and commerce in the area?</t>
  </si>
  <si>
    <t>Road, Rail, Air, Water, Don't know, Prefer to not answer</t>
  </si>
  <si>
    <t>2.174</t>
  </si>
  <si>
    <t>% of KIs by state and quality of transportation and logistics infrastructure</t>
  </si>
  <si>
    <t>How would you rate the state and quality of transportation and logistics infrastructure in the area?</t>
  </si>
  <si>
    <t>Good, Average, Poor, Don't know, Prefer to not answer</t>
  </si>
  <si>
    <t>2.175</t>
  </si>
  <si>
    <t>% of KIs by challenges or barriers in logistics and transportation</t>
  </si>
  <si>
    <t>What challenges or barriers exist in logistics and transportation in the area?</t>
  </si>
  <si>
    <t>Infrastructure, Security, Costs, [other contextualised choices], Other (please specify), Don't know, Prefer to not answer</t>
  </si>
  <si>
    <t>2.176</t>
  </si>
  <si>
    <t>% of KIs by barriers or challenges faced in accessing or using these trade routes</t>
  </si>
  <si>
    <t>What barriers or challenges are faced in accessing or using these trade routes?</t>
  </si>
  <si>
    <t>Security, Infrastructure, Tariffs, [other contextualised choices], Other (please specify), Don't know, Prefer to not answer</t>
  </si>
  <si>
    <t>2.177</t>
  </si>
  <si>
    <t>% of KIs by presence of local or regional trade agreements or partnerships</t>
  </si>
  <si>
    <t>Are there local or regional trade agreements or partnerships in place?</t>
  </si>
  <si>
    <t>2.178</t>
  </si>
  <si>
    <t>% of KIs by impact of tariffs, taxes, or other trade barriers on local commerce</t>
  </si>
  <si>
    <t>What is the impact of tariffs, taxes, or other trade barriers on local commerce?</t>
  </si>
  <si>
    <t>Significant, Moderate, Minimal, None, Don't know, Prefer to not answer</t>
  </si>
  <si>
    <t>2.179</t>
  </si>
  <si>
    <t>% of KIs reporting marketplaces accessible by all population groups</t>
  </si>
  <si>
    <t>Which population groups most frequently come to your facilities?</t>
  </si>
  <si>
    <t>- Male children (0-17)
- Female children  (0-17)
- Male adults (18-59)
- Female adults (18-59)
- Male elderly (60+)
- Female elderly (60+)
- All</t>
  </si>
  <si>
    <t>JRAM</t>
  </si>
  <si>
    <t>2.180</t>
  </si>
  <si>
    <t>average % of retailers regularly trading in the market (on the total number)</t>
  </si>
  <si>
    <t>Can you estimate what percentage of total vendors in this marketplace are currently trading?</t>
  </si>
  <si>
    <t>- All vendors (100%)
- Most of the vendors (between 75% and 99%)
- A lot of the vendors (between 50% and 74%)
- Some vendors (between 25% and 49%)
- Few vendors (between 1%  and 24%)
- Do not know
- Prefer not to answer</t>
  </si>
  <si>
    <t>2.181</t>
  </si>
  <si>
    <t>% of KIs reporting gaps in product availability across marketplaces in the area, by missing goods</t>
  </si>
  <si>
    <t>Are there gaps in product availability across marketplaces in the area? If yes, which goods are typically missing?</t>
  </si>
  <si>
    <t>[List of goods], None, Don't Know, Prefer Not to Answer</t>
  </si>
  <si>
    <t>2.182</t>
  </si>
  <si>
    <t>% of KIs identifying essential goods that experience seasonal shortages, by good and season</t>
  </si>
  <si>
    <t>Which essential goods experience seasonal shortages and during which seasons?</t>
  </si>
  <si>
    <t>[List of goods with corresponding seasons], None, Don't Know, Prefer Not to Answer</t>
  </si>
  <si>
    <t>2.183</t>
  </si>
  <si>
    <t>% of KIs identifying essential goods that experience shortages following particular events, by good and type of event</t>
  </si>
  <si>
    <t>Do any essential goods experience shortages following particular events? If yes, specify the good and the event.</t>
  </si>
  <si>
    <t>[List of goods with corresponding events], None, Don't Know, Prefer Not to Answer</t>
  </si>
  <si>
    <t>2.184.1</t>
  </si>
  <si>
    <t>% of KIs indicating the predominant regions or countries from which essential goods are sourced, by good and related provenance</t>
  </si>
  <si>
    <t>Are the wholesalers that you currently purchase your stocks from based in the same marketplace as you?</t>
  </si>
  <si>
    <t>- Yes
- No
- Some
- Do not know
- Prefer not to answer</t>
  </si>
  <si>
    <t>2.184.2</t>
  </si>
  <si>
    <t>(For those wholesalers outside of this marketplace) Where is the main wholesaler you currently purchase your stocks from currently located?</t>
  </si>
  <si>
    <r>
      <t xml:space="preserve">- {admin2 list}
</t>
    </r>
    <r>
      <rPr>
        <sz val="10"/>
        <color rgb="FF000000"/>
        <rFont val="Segoe UI"/>
        <family val="2"/>
      </rPr>
      <t>- Outside the country</t>
    </r>
  </si>
  <si>
    <t>2.184.3</t>
  </si>
  <si>
    <t>If outside the country, in which country is the main wholesaler you currently purchase your stocks from currently located?</t>
  </si>
  <si>
    <t>[country list]</t>
  </si>
  <si>
    <t>2.185</t>
  </si>
  <si>
    <t xml:space="preserve">% of KIs reporting the presence of micro-credit institutions to facilitate the vendors' day-to-day work </t>
  </si>
  <si>
    <t>Are there financial service providers present in the area to facilitate the vendors' day-to-day work?</t>
  </si>
  <si>
    <t>2.186</t>
  </si>
  <si>
    <t>% of KIs reporting security issues affecting markets operations, by type of issue</t>
  </si>
  <si>
    <t>Have there been any security issues affecting market operations? If yes, what type of issues?</t>
  </si>
  <si>
    <t>Theft, Vandalism, Gang Activity, Extortion, Armed Conflict, [[Other contextualized choices]], None, Don't Know, Prefer Not to Answer</t>
  </si>
  <si>
    <t>2.187</t>
  </si>
  <si>
    <t>% of KIs noting barriers to starting or sustaining businesses in the area, by type of barrier</t>
  </si>
  <si>
    <t>What barriers do individuals face when starting or sustaining businesses in the area?</t>
  </si>
  <si>
    <t>High startup costs, Lack of access to credit, Bureaucratic red tape, Corruption, Lack of training or skills, [[Other contextualized choices]], None, Don't Know, Prefer Not to Answer</t>
  </si>
  <si>
    <t>2.188</t>
  </si>
  <si>
    <t>% of KIs reporting challenges related to the sourcing and transportation of goods, by challenge</t>
  </si>
  <si>
    <t>Are there challenges related to the sourcing and transportation of goods? If yes, what are they?</t>
  </si>
  <si>
    <t>High transportation costs, Unreliable suppliers, Damaged infrastructure (roads, bridges), Customs or border delays, Security risks during transportation, [[Other contextualized choices]], None, Don't Know, Prefer Not to Answer</t>
  </si>
  <si>
    <t>2.189.1</t>
  </si>
  <si>
    <t>% of KIs reporting marketplaces not accessible by all population groups, by reason</t>
  </si>
  <si>
    <t>Are you aware of any groups of people who may not feel safe accessing this marketplace?</t>
  </si>
  <si>
    <t>- I am not aware of any groups who feel unsafe
- Male children (0-17)
- Female children (0-17)
- Male adults (18-59)
- Female adults (18-59)
- Male elderly (60+)
- Female elderly (60+)
- Persons with disabilities (difficulty seeing, hearing, walking, climbing steps, performing self-care, remembering, concentrating, or communicating in their customary language)
- Persons with chronic health conditions (heart disease, cancer, lung disease, diabetes, or renal disease)
- Other (please specify)
- Do not know
- Prefer not to answer</t>
  </si>
  <si>
    <t xml:space="preserve">In this group of questions, worth being aware of the difficulty of assessing social exclusion through vendor interviews, as vendors may themselves be the ones perpetrating the exclusion of others from the markets they control, either intentionally or unintentionally. Male vendors, for instance, may not see that there's anything particularly discriminatory about their marketplace if broader societal norms prevent women from accessing any public spaces, and able-bodied people may be clueless about the barriers that prevent disabled people from reaching their businesses. Always triangulate with HH surveys and community FGD.
This indicator refers to information that is better to gather through (or complemented by) semi-structured data collection tools and subsequent qualitative analysis for a deeper understanding (the question must be adapted for semi-structured tools, and not be used in semi-structured tool as it is). If qualitative data collection is not possible, those indicators must be adapted to the context and several structured questions - with an appropriate follow up and skip logic - might be asked to collecting data on the same indicator. </t>
  </si>
  <si>
    <t>2.189.2</t>
  </si>
  <si>
    <t>Why do you think these groups may not feel safe accessing this marketplace?</t>
  </si>
  <si>
    <t>- Fear of violence due to gender
- Fear of abduction
- Feel at risk / more vulnerable due to health conditions or age
- Other (please specify)
- Do not know
- Prefer not to answer</t>
  </si>
  <si>
    <t>In this group of questions, worth being aware of the difficulty of assessing social exclusion through vendor interviews, as vendors may themselves be the ones perpetrating the exclusion of others from the markets they control, either intentionally or unintentionally. Male vendors, for instance, may not see that there's anything particularly discriminatory about their marketplace if broader societal norms prevent women from accessing any public spaces, and able-bodied people may be clueless about the barriers that prevent disabled people from reaching their businesses. Always triangulate with HH surveys and community FGD.
This indicator refers to information that is better to gather through (or complemented by) semi-structured data collection tools and subsequent qualitative analysis for a deeper understanding (the question must be adapted for semi-structured tools, and not be used in semi-structured tool as it is). If qualitative data collection is not possible, those indicators must be adapted to the context and several structured questions - with an appropriate follow up and skip logic - might be asked to collecting data on the same indicator.</t>
  </si>
  <si>
    <t>2.190</t>
  </si>
  <si>
    <t>% of KI reporting groups avoiding to go to the marketplaces due to discrimination, by group</t>
  </si>
  <si>
    <t>Are there specific groups that avoid going to the marketplaces due to experiences of discrimination?</t>
  </si>
  <si>
    <t>Yes, [List of groups: Women, Ethnic minorities, Religious minorities, Prople with disabilities, Elders [Other contextualized choices]], No, Don't Know, Prefer Not to Answer</t>
  </si>
  <si>
    <t>2.191</t>
  </si>
  <si>
    <t>% of KI reporting groups avoiding to go to the marketplaces due to social and cultural norms, by group</t>
  </si>
  <si>
    <t>Are there specific groups that avoid going to the marketplaces due to prevailing social and cultural norms?</t>
  </si>
  <si>
    <t>2.192</t>
  </si>
  <si>
    <t>% of KIs reporting marketplaces have adequate space for vendors and customers</t>
  </si>
  <si>
    <t>Do you believe the marketplaces have adequate space to accommodate both vendors and customers?</t>
  </si>
  <si>
    <t>2.193.1</t>
  </si>
  <si>
    <t>% of KIs reporting marketplaces are sufficiently supplied to meet the needs of customers</t>
  </si>
  <si>
    <t>Do you believe the marketplaces are sufficiently stocked to meet the needs of the customers?</t>
  </si>
  <si>
    <t>2.193.2</t>
  </si>
  <si>
    <t>% of KIs reporting marketplaces are over-supplied compared to the customers' needs</t>
  </si>
  <si>
    <t xml:space="preserve">If demand for {item} were to increase by 50%, would you be able to meet this increase in demand? </t>
  </si>
  <si>
    <t>- Yes
- No
- Do not know
- Prefer not to answer</t>
  </si>
  <si>
    <t>2.194</t>
  </si>
  <si>
    <t>Customer Provenance</t>
  </si>
  <si>
    <t>% of KIs indicating the proportion of customers from the locality vs other localities or regions</t>
  </si>
  <si>
    <t>In general, where do the majority of your customers come from?</t>
  </si>
  <si>
    <r>
      <t xml:space="preserve">- Same neighbourhood
- Same village
- Surrounding villages in the same </t>
    </r>
    <r>
      <rPr>
        <sz val="10"/>
        <color rgb="FFFF0000"/>
        <rFont val="Segoe UI"/>
        <family val="2"/>
      </rPr>
      <t>{admin2 level}</t>
    </r>
    <r>
      <rPr>
        <sz val="10"/>
        <color theme="1"/>
        <rFont val="Segoe UI"/>
        <family val="2"/>
      </rPr>
      <t xml:space="preserve">
- Other </t>
    </r>
    <r>
      <rPr>
        <sz val="10"/>
        <color rgb="FFFF0000"/>
        <rFont val="Segoe UI"/>
        <family val="2"/>
      </rPr>
      <t>{admin2 level}</t>
    </r>
    <r>
      <rPr>
        <sz val="10"/>
        <color theme="1"/>
        <rFont val="Segoe UI"/>
        <family val="2"/>
      </rPr>
      <t xml:space="preserve"> (please specify)
- Other </t>
    </r>
    <r>
      <rPr>
        <sz val="10"/>
        <color rgb="FFFF0000"/>
        <rFont val="Segoe UI"/>
        <family val="2"/>
      </rPr>
      <t>{admin1 level}</t>
    </r>
    <r>
      <rPr>
        <sz val="10"/>
        <color theme="1"/>
        <rFont val="Segoe UI"/>
        <family val="2"/>
      </rPr>
      <t xml:space="preserve"> (please specify)
- Prefer not to answer</t>
    </r>
  </si>
  <si>
    <t>2.195</t>
  </si>
  <si>
    <t>% of KIs reporting local marketplace acts as a central hub for national or international wholesalers</t>
  </si>
  <si>
    <t>Does the local marketplace act as a central hub for national or international wholesalers who stock their goods here?</t>
  </si>
  <si>
    <t>Yes, it's a central hub for national wholesalers
Yes, it's a central hub for foreigner wholesalers
No, it's not a central hub for national wholesalers
No, it's not a central hub for foreigner wholesalers
Don't know
Prefer to not answer</t>
  </si>
  <si>
    <t>2.196</t>
  </si>
  <si>
    <t>% of KIs reporting the presence of latrines or sanitation facilities in marketplaces</t>
  </si>
  <si>
    <t>Are there latrines or sanitation facilities present in most of the marketplaces?</t>
  </si>
  <si>
    <t>2.197</t>
  </si>
  <si>
    <t>% of KIs reporting the availability of clean water sources in marketplaces</t>
  </si>
  <si>
    <t>Are there clean water sources available in the marketplaces?</t>
  </si>
  <si>
    <t>2.198</t>
  </si>
  <si>
    <t>% of KIs reporting the presence of electricity or power sources in marketplaces</t>
  </si>
  <si>
    <t>Is there electricity or other power sources available in the marketplaces?</t>
  </si>
  <si>
    <t>2.199</t>
  </si>
  <si>
    <t>% of KIs reporting marketplaces have adequate storage facilities for goods</t>
  </si>
  <si>
    <t>Where do you store your stocks?</t>
  </si>
  <si>
    <t>- Within my own facilities
- Within my own home
- Warehouse inside the marketplace
- Warehouse outside of the marketplace
- In another vendor's facilities / share storage space with another vendor
- Other (please specify)
- Prefer not to answer</t>
  </si>
  <si>
    <t>2.200</t>
  </si>
  <si>
    <t>% of KIs reporting waste disposal practices and facilities in marketplaces, by practice</t>
  </si>
  <si>
    <t>What waste disposal practices and facilities are present in most of the marketplaces?</t>
  </si>
  <si>
    <t>Landfills, Recycling, Composting, Incineration, [Other contextualized choices], Don't Know, Prefer Not to Answer</t>
  </si>
  <si>
    <t>2.201.1</t>
  </si>
  <si>
    <t>Strategic importance of marketplace</t>
  </si>
  <si>
    <t>% of KIs reporting the importance of the local marketplaces for the wider area (municipality, region, nation)</t>
  </si>
  <si>
    <t>Do wholesalers frequently visit this locality to purchase goods for resale in their own areas?</t>
  </si>
  <si>
    <t>2.201.2</t>
  </si>
  <si>
    <t>If wholesalers stock here, where do they resell the goods?</t>
  </si>
  <si>
    <t>[list of adm1 and adm2]
Don't know
Prefer to not answer</t>
  </si>
  <si>
    <t>2.202.1</t>
  </si>
  <si>
    <t>Do vendors from other localities frequently visit this marketplace to purchase goods for resale in their own areas?</t>
  </si>
  <si>
    <t>Yes, vendors from distant localities frequently visit
No, vendors from distant localities do not visit
Don't know
Prefer to not answer</t>
  </si>
  <si>
    <t>2.202.2</t>
  </si>
  <si>
    <t>If vendors from distant localities frequently visit the marketplace, where they come from?</t>
  </si>
  <si>
    <t>[list of adm3]
Don't know
Prefer to not answer</t>
  </si>
  <si>
    <t>2.203</t>
  </si>
  <si>
    <t>Transport</t>
  </si>
  <si>
    <t>% of KIs by most common means of transport for goods coming into the area</t>
  </si>
  <si>
    <t>What are the most common means of transport for goods coming into the area?</t>
  </si>
  <si>
    <t>Trucks, Carts, Bicycles, Motorcycles, [Other contextualized choices], Don't Know, Prefer Not to Answer</t>
  </si>
  <si>
    <t>2.204</t>
  </si>
  <si>
    <t>% of KIs by transport infrastructure challenges affecting the markets</t>
  </si>
  <si>
    <t>Are there any transport infrastructure challenges affecting the markets?</t>
  </si>
  <si>
    <t>Poor road conditions, Lack of public transportation, Traffic congestion, Inadequate parking, Seasonal road blockages (e.g., floods, snow), High transportation costs, Security checkpoints, Other contextualized choices, Don't Know, Prefer Not to Answer</t>
  </si>
  <si>
    <t>2.205</t>
  </si>
  <si>
    <t>% of HH or KIs aware of regular monitoring mechanisms to identify and address protection risks in their community.</t>
  </si>
  <si>
    <t>Are there actors conducting regular monitoring to identify situations related to [list protection risk factors] in this [area, locality, sector, ...]?</t>
  </si>
  <si>
    <t>2.206</t>
  </si>
  <si>
    <t>% of KIs by type of waste management facilities available in the area</t>
  </si>
  <si>
    <t>What types of waste management facilities are available in your area?</t>
  </si>
  <si>
    <t>Landfills, Recycling centers, Composting facilities, Incineration plants, Other contextualized choices, Don't Know, Prefer Not to Answer</t>
  </si>
  <si>
    <t>2.207</t>
  </si>
  <si>
    <t>% of KIs by type of sanitation facilities available for public use</t>
  </si>
  <si>
    <t>What types of sanitation facilities are available for public use in your area?</t>
  </si>
  <si>
    <t>Public toilets, Septic tanks, Pit latrines, Sewer systems, Other contextualized choices, Don't Know, Prefer Not to Answer</t>
  </si>
  <si>
    <t>2.208</t>
  </si>
  <si>
    <t>% of KIs reporting presence of a sewage network in the area, by conditions</t>
  </si>
  <si>
    <t>Is there a sewage network present in your area? If yes, how would you describe its condition?</t>
  </si>
  <si>
    <t>Yes, in good condition; Yes, in fair condition; Yes, in poor condition; No sewage network; Don't Know, Prefer Not to Answer</t>
  </si>
  <si>
    <t>2.209</t>
  </si>
  <si>
    <t>% of KIs reporting on the capacity of waste management facilities compared to the waste generated</t>
  </si>
  <si>
    <t>How would you describe the capacity of waste management facilities in relation to the amount of waste generated in the area?</t>
  </si>
  <si>
    <t>Adequate capacity, Overwhelmed by the amount of waste, Barely managing, Other contextualized choices, Don't Know, Prefer Not to Answer</t>
  </si>
  <si>
    <t>2.210</t>
  </si>
  <si>
    <t>% of KIs reporting wastewater treatment and disposal in the area, by method</t>
  </si>
  <si>
    <t>How is wastewater typically treated and disposed of in your area?</t>
  </si>
  <si>
    <t>Treated and released into water bodies, Treated and used for irrigation, Directly released without treatment, Other contextualized choices, Don't Know, Prefer Not to Answer</t>
  </si>
  <si>
    <t>2.211</t>
  </si>
  <si>
    <t>Top 3 ways that households without access to formal solid waste removal services dispose of their waste</t>
  </si>
  <si>
    <t>What are the top three ways that most HHs dispose household waste?</t>
  </si>
  <si>
    <t>2.212</t>
  </si>
  <si>
    <t>Environmental impact</t>
  </si>
  <si>
    <t>% of KIs reporting on the contamination of water bodies due to improper waste disposal</t>
  </si>
  <si>
    <t>Are you aware of contamination of water bodies due to improper waste disposal?</t>
  </si>
  <si>
    <t>2.213</t>
  </si>
  <si>
    <t>% of KIs aware of soil degradation or contamination due to waste dumping</t>
  </si>
  <si>
    <t>Are you aware of any soil degradation or contamination due to waste dumping in the area?</t>
  </si>
  <si>
    <t>2.214</t>
  </si>
  <si>
    <t>% of KIs reporting on air pollution levels due to waste burning or decomposition</t>
  </si>
  <si>
    <t>Are you aware about increased air pollution due to waste burning or decomposition?</t>
  </si>
  <si>
    <t>2.215.1</t>
  </si>
  <si>
    <t>% of KIs by reported functionality of recycling facilities</t>
  </si>
  <si>
    <t>Are the recycling facilities in the area functional?</t>
  </si>
  <si>
    <t>Fully functional, Partially functional, Not functional, Don't Know, Prefer Not to Answer</t>
  </si>
  <si>
    <t>2.215.2</t>
  </si>
  <si>
    <t>% of KIs by type and volume of waste recycled versus disposed of</t>
  </si>
  <si>
    <t>What type of waste is primarily recycled, and how does its volume compare to disposed waste?</t>
  </si>
  <si>
    <t>[List of waste types], More recycled than disposed, Equal amounts, More disposed than recycled, Don't Know, Prefer Not to Answer</t>
  </si>
  <si>
    <t>2.216</t>
  </si>
  <si>
    <t>% of KIs reporting the establishment of new sanitation facilities for IDPs</t>
  </si>
  <si>
    <t>Have new sanitation facilities been established specifically for IDPs?</t>
  </si>
  <si>
    <t>2.217</t>
  </si>
  <si>
    <t>% of KIs identifying areas where sanitation infrastructure has been damaged due to IDP influx</t>
  </si>
  <si>
    <t>Have you noticed areas where sanitation infrastructure has been damaged due to the influx of IDPs?</t>
  </si>
  <si>
    <t>2.218</t>
  </si>
  <si>
    <t>% of KIs reporting hygiene promotion or sanitation training specifically for IDPs</t>
  </si>
  <si>
    <t>Is there any hygiene promotion or sanitation training specifically for IDPs?</t>
  </si>
  <si>
    <t>2.219</t>
  </si>
  <si>
    <t>% of KIs noting an increased strain or usage on sanitation facilities since the arrival of IDPs</t>
  </si>
  <si>
    <t>Have you observed an increased strain or usage on sanitation facilities since the arrival of IDPs?</t>
  </si>
  <si>
    <t>2.220</t>
  </si>
  <si>
    <t>% of KIs by frequency of waste collection in the area</t>
  </si>
  <si>
    <t>How frequently is waste collected in the area?</t>
  </si>
  <si>
    <t>2.221</t>
  </si>
  <si>
    <t>% of KIs by funding sources for sanitation infrastructure</t>
  </si>
  <si>
    <t>What are the primary funding sources for sanitation infrastructure in the area?</t>
  </si>
  <si>
    <t>Local government, International NGOs, National NGOs, Private sector, Community contributions, Other contextualized choices, Don't Know, Prefer Not to Answer</t>
  </si>
  <si>
    <t>2.222</t>
  </si>
  <si>
    <t>% of KIs reporting that steps are being taken to improve solid waste collection in the area, by type of action</t>
  </si>
  <si>
    <t>Are there steps being taken to improve solid waste collection in the area? If yes, what type of action?</t>
  </si>
  <si>
    <t>Introducing new waste bins, Increasing frequency of collection, Awareness campaigns, Introducing recycling programs, Other contextualized choices, No steps taken, Don't Know, Prefer Not to Answer</t>
  </si>
  <si>
    <t>2.223</t>
  </si>
  <si>
    <t>% of KIs by challenges or barriers in managing wastewater and sewage</t>
  </si>
  <si>
    <t>What challenges or barriers exist in managing wastewater and sewage?</t>
  </si>
  <si>
    <t>Lack of infrastructure, Lack of funding, Lack of expertise, Natural barriers (e.g., terrain), Other contextualized choices, Don't Know, Prefer Not to Answer</t>
  </si>
  <si>
    <t>2.224</t>
  </si>
  <si>
    <t>% of KIs reporting collaborations between local stakeholders and external entities for sanitation provision for IDPs, by type of stakeholder</t>
  </si>
  <si>
    <t>Are there collaborations between local stakeholders and external entities for sanitation provision for IDPs?</t>
  </si>
  <si>
    <t>Local NGOs, International NGOs, Government agencies, Private sector, Other contextualized choices, Don't Know, Prefer Not to Answer</t>
  </si>
  <si>
    <t>2.225</t>
  </si>
  <si>
    <t>% of KIs reporting collaborations between local stakeholders and external entities for sanitation provision for IDPs, by type of collaboration</t>
  </si>
  <si>
    <t>What type of collaborations exist between local stakeholders and external entities for sanitation provision for IDPs?</t>
  </si>
  <si>
    <t>Funding, Infrastructure development, Training and capacity building, Awareness campaigns, Other contextualized choices, Don't Know, Prefer Not to Answer</t>
  </si>
  <si>
    <t>2.226</t>
  </si>
  <si>
    <t>% of KIs by main source of drinking water for most people in the locality</t>
  </si>
  <si>
    <t>What is the main source of drinking water for most people in this locality?</t>
  </si>
  <si>
    <t>Piped water, Borehole, Well, River/Stream, Rainwater, Bottled water, [Other contextualized choices], Don't Know</t>
  </si>
  <si>
    <t>2.227</t>
  </si>
  <si>
    <t>% of KIs reporting the safety of water from water network/water points for drinking</t>
  </si>
  <si>
    <t>Do you believe the water from the local network/water points is safe for drinking?</t>
  </si>
  <si>
    <t>2.228</t>
  </si>
  <si>
    <t>% of KIs by distribution mechanisms (eg, piped network, water trucks, public water points)</t>
  </si>
  <si>
    <t>How is water mainly distributed in this locality?</t>
  </si>
  <si>
    <t>Piped network, Water trucks, Public water points, [Other contextualized choices], Don't Know</t>
  </si>
  <si>
    <t>2.229</t>
  </si>
  <si>
    <t>Distance and accessibility of major water distribution points from residential areas</t>
  </si>
  <si>
    <t>How far and accessible are the major water distribution points from most residential areas?</t>
  </si>
  <si>
    <t>Very close and accessible, Close but not always accessible, Far but accessible, Far and not accessible, Don't Know, Prefer Not to Answer</t>
  </si>
  <si>
    <t>2.230</t>
  </si>
  <si>
    <t>Impact of seasonal changes on water availability and distribution</t>
  </si>
  <si>
    <t>How do seasonal changes impact water availability and distribution?</t>
  </si>
  <si>
    <t>No impact, Reduced availability in dry season, Contamination in rainy season, [Other contextualized choices], Don't Know</t>
  </si>
  <si>
    <t>2.231</t>
  </si>
  <si>
    <t>% of KIs by primary sources of water supply (eg, rivers, groundwater, reservoirs)</t>
  </si>
  <si>
    <t>What are the primary sources of water supply in this locality?</t>
  </si>
  <si>
    <t>Rivers, Groundwater, Reservoirs, [Other contextualized choices], Don't Know</t>
  </si>
  <si>
    <t>2.232</t>
  </si>
  <si>
    <t>% of KIs by type and capacity of water treatment plants in the area</t>
  </si>
  <si>
    <t>Are you aware of any water treatment plants in the area? If yes, what type and what is their capacity?</t>
  </si>
  <si>
    <t>No treatment plants, Small-scale community plants, Large-scale municipal plants, Other [contextualized options], Don't Know</t>
  </si>
  <si>
    <t>2.233</t>
  </si>
  <si>
    <t>% of KIs by condition of the piped water network/water points system</t>
  </si>
  <si>
    <t>How would you rate the condition of the piped water network or water points system in the area?</t>
  </si>
  <si>
    <t>Excellent, Good, Fair, Poor, Very Poor, Don't Know</t>
  </si>
  <si>
    <t>2.234</t>
  </si>
  <si>
    <t>% of KIs reporting water source potential risks (eg, drying up of sources, contamination)</t>
  </si>
  <si>
    <t>Are you aware of any potential risks to the water sources in the area?</t>
  </si>
  <si>
    <t>Drying up of sources, Contamination, Over-extraction, Climate change impacts, [Other contextualized choices], none, Don't Know, Prefer Not to Answer</t>
  </si>
  <si>
    <t>2.235</t>
  </si>
  <si>
    <t>% of KIs noting a change in water distribution mechanisms since the arrival of IDPs, by change</t>
  </si>
  <si>
    <t>Have there been changes in water distribution mechanisms since the arrival of IDPs?</t>
  </si>
  <si>
    <t>Introduction of water rationing, New distribution points, Use of water trucks, [Other contextualized choices], none, Don't Know, Prefer Not to Answer</t>
  </si>
  <si>
    <t>2.236</t>
  </si>
  <si>
    <t>% of KIs identifying water infrastructure has been negatively affected due to IDP influx</t>
  </si>
  <si>
    <t>Has the water infrastructure been negatively affected due to the influx of IDPs?</t>
  </si>
  <si>
    <t>2.237</t>
  </si>
  <si>
    <t>% of KIs reporting initiatives to improve water access specifically for IDPs</t>
  </si>
  <si>
    <t>Are there any initiatives in place to improve water access specifically for IDPs?</t>
  </si>
  <si>
    <t>2.238</t>
  </si>
  <si>
    <t>% of KIs reporting collaborations between local stakeholders and external entities for water provision for IDPs</t>
  </si>
  <si>
    <t>Are there collaborations between local stakeholders and external entities to provide water for IDPs?</t>
  </si>
  <si>
    <t>2.239</t>
  </si>
  <si>
    <t>% of KIs reporting changes in water distribution schedules or quantities since the arrival of IDPs, by type of change</t>
  </si>
  <si>
    <t>Have there been changes in water distribution schedules or quantities since the arrival of IDPs?</t>
  </si>
  <si>
    <t>Reduced water quantities, Altered distribution schedules, Intermittent supply, [Other contextualized choices], none, Don't Know, Prefer not answer</t>
  </si>
  <si>
    <t>2.240</t>
  </si>
  <si>
    <t>% of KIs reporting on new water sources or distribution points established in response to IDP influx</t>
  </si>
  <si>
    <t>Have new water sources or distribution points been established in response to the IDP influx?</t>
  </si>
  <si>
    <t>2.241</t>
  </si>
  <si>
    <t>Main water source</t>
  </si>
  <si>
    <t>% of HHs by type of primary source of drinking water</t>
  </si>
  <si>
    <t>What is the main source of drinking water for members of your household?</t>
  </si>
  <si>
    <t>Piped into dwelling
Piped into compound, yard or plot
Piped to neighbour
Public tap/standpipe 
Borehole or tubewell 
Protected well 
Unprotected well
Protected spring
Unprotected spring 
Rainwater collection
Tanker-truck
Cart with small tank / drum
Water kiosk
Bottled water
Sachet water
Surface water (river, dam, lake, pond, stream, canal, irrigation channel) 
Other (please specify)     
Don’t know</t>
  </si>
  <si>
    <t>2.1.2.1</t>
  </si>
  <si>
    <t>2.242</t>
  </si>
  <si>
    <t>% of KIs by maintenance schedules for water infrastructure</t>
  </si>
  <si>
    <t>How often is the water infrastructure maintained in the area?</t>
  </si>
  <si>
    <t>Monthly, Quarterly, Bi-annually, Annually, Never, [Other contextualized choices], Don't Know, Prefer Not to Answer</t>
  </si>
  <si>
    <t>2.243</t>
  </si>
  <si>
    <t>% of KIs by reported frequency of infrastructure breakdowns and average repair times</t>
  </si>
  <si>
    <t>How frequently do infrastructure breakdowns occur and what's the average repair time?</t>
  </si>
  <si>
    <t>Breakdown Frequency: Daily, Weekly, Monthly, Rarely, Never; Average Repair Time: Within a day, Within a week, More than a week, [Other contextualized choices], Don't Know, Prefer Not to Answer</t>
  </si>
  <si>
    <t>2.244</t>
  </si>
  <si>
    <t>% of KIs by primary funding sources for water infrastructure and services</t>
  </si>
  <si>
    <t>What are the primary funding sources for water infrastructure and services?</t>
  </si>
  <si>
    <t>Local government, National government, International donors, Private sector, Community contributions, [Other contextualized choices], Don't Know, Prefer Not to Answer</t>
  </si>
  <si>
    <t>2.245</t>
  </si>
  <si>
    <t>% of KIs reporting recent and planned investments in water infrastructure</t>
  </si>
  <si>
    <t>Are you aware of any recent or planned investments in water infrastructure?</t>
  </si>
  <si>
    <t>Recent investments, Planned investments, Both recent and planned, None, Don't Know, Prefer Not to Answer</t>
  </si>
  <si>
    <t>2.246</t>
  </si>
  <si>
    <t>% of KIs aware of water management policies and regulations in the area</t>
  </si>
  <si>
    <t>Are you aware of any water management policies and regulations in the area?</t>
  </si>
  <si>
    <t>2.247</t>
  </si>
  <si>
    <t>% of KIs reporting initiatives to improve water provision in the area, by type and effectiveness</t>
  </si>
  <si>
    <t>Are there initiatives in place to improve water provision in the area? If yes, how effective are they?</t>
  </si>
  <si>
    <t>Initiative Type: Water rationing, New distribution points, Use of water trucks, [Other contextualized choices]; Effectiveness: Very effective, Somewhat effective, Not effective, Don't Know, Prefer Not to Answer</t>
  </si>
  <si>
    <t>2.248</t>
  </si>
  <si>
    <t>Stakeholder Identification</t>
  </si>
  <si>
    <t>% of KIs identifying internal stakeholders involved in water provision and management</t>
  </si>
  <si>
    <t>Who are the internal stakeholders involved in water provision and management in the area?</t>
  </si>
  <si>
    <t>Local government, Community leaders, Local NGOs, [Other contextualized choices], Don't Know, Prefer Not to Answer - specify the actor(s)</t>
  </si>
  <si>
    <t>2.249.1</t>
  </si>
  <si>
    <t>% of KIs identifying external stakeholders or partners supporting water provision and management</t>
  </si>
  <si>
    <t>Who are the external stakeholders or partners supporting water provision and management?</t>
  </si>
  <si>
    <t>International NGOs, Foreign governments, UN agencies, [Other contextualized choices], Don't Know, Prefer Not to Answer - specify the actor(s)</t>
  </si>
  <si>
    <t>2.249.2</t>
  </si>
  <si>
    <t>% of KIs identifying external organizations or agencies providing support for water services</t>
  </si>
  <si>
    <t>Which external organizations or agencies provide support for water services in the area?</t>
  </si>
  <si>
    <t>IOs, NGOs [Other contextualized choices], Don't Know, Prefer Not to Answer - specify the actor(s)</t>
  </si>
  <si>
    <t>2.249.3</t>
  </si>
  <si>
    <t>% of KIs by nature of external support</t>
  </si>
  <si>
    <t>What type of external support is provided for water services?</t>
  </si>
  <si>
    <t>Funding, Technical expertise, Infrastructure development, [Other contextualized choices], Don't Know, Prefer Not to Answer</t>
  </si>
  <si>
    <t>2.250.1</t>
  </si>
  <si>
    <t>Water for Agriculture</t>
  </si>
  <si>
    <t>% of KIs reporting water availability for agricultural activities</t>
  </si>
  <si>
    <t>Is water readily available for agricultural activities in the area?</t>
  </si>
  <si>
    <t>2.250.2</t>
  </si>
  <si>
    <t>% of KIs by primary sources of water for agriculture</t>
  </si>
  <si>
    <t>What are the primary sources of water for agriculture?</t>
  </si>
  <si>
    <t>Irrigation, Rain-fed, Groundwater, [Other contextualized choices], Don't Know, Prefer Not to Answer</t>
  </si>
  <si>
    <t>2.250.3</t>
  </si>
  <si>
    <t>% of KIs reporting the sufficiency of current water sources for agricultural needs</t>
  </si>
  <si>
    <t>Are the current water sources sufficient to meet agricultural needs?</t>
  </si>
  <si>
    <t>2.250.4</t>
  </si>
  <si>
    <t>Top 3 measures suggested by KIs to improve water availability for agriculture</t>
  </si>
  <si>
    <t>What are the top 3 measures would you suggest to improve water availability for agriculture?</t>
  </si>
  <si>
    <t>Building dams, Improved irrigation systems, Rainwater harvesting, [Other contextualized choices], Don't Know, Prefer Not to Answer</t>
  </si>
  <si>
    <t>2.251.1</t>
  </si>
  <si>
    <t>Water for Industry</t>
  </si>
  <si>
    <t>% of KIs reporting water availability for industrial/factory/handcraft/production activities</t>
  </si>
  <si>
    <t>Is water readily available for industrial activities in the area?</t>
  </si>
  <si>
    <t>2.251.2</t>
  </si>
  <si>
    <t>% of KIs by primary sources of water for industries/factories/handcraft/ production activities</t>
  </si>
  <si>
    <t>What are the primary sources of water for industries?</t>
  </si>
  <si>
    <t>Piped water, Groundwater, Surface water, [Other contextualized choices], Don't Know, Prefer Not to Answer</t>
  </si>
  <si>
    <t>2.251.3</t>
  </si>
  <si>
    <t>% of KIs reporting the sufficiency of current water sources for industrial/factory/handcraft/productive needs</t>
  </si>
  <si>
    <t>Are the current water sources sufficient to meet industrial needs?</t>
  </si>
  <si>
    <t>2.251.4</t>
  </si>
  <si>
    <t>Top 3 measures suggested by KIs to improve water availability for industries/factories/handcrafts/production activities</t>
  </si>
  <si>
    <t>What measures would you suggest to improve water availability for industries?</t>
  </si>
  <si>
    <t>Improved infrastructure, Water recycling, Groundwater recharge, [Other contextualized choices], Don't Know, Prefer Not to Answer</t>
  </si>
  <si>
    <t>2.252.1</t>
  </si>
  <si>
    <t>Water for Pasture</t>
  </si>
  <si>
    <t>% of KIs reporting water availability for pasture and livestock</t>
  </si>
  <si>
    <t>Is water readily available for pasture and livestock in the area?</t>
  </si>
  <si>
    <t>2.252.2</t>
  </si>
  <si>
    <t>% of KIs by primary sources of water for pasture</t>
  </si>
  <si>
    <t>What are the primary sources of water for pasture?</t>
  </si>
  <si>
    <t>Natural water bodies, Piped water, Rainwater, [Other contextualized choices], Don't Know, Prefer Not to Answer</t>
  </si>
  <si>
    <t>2.252.3</t>
  </si>
  <si>
    <t>% of KIs reporting the sufficiency of current water sources for pasture needs</t>
  </si>
  <si>
    <t>Are the current water sources sufficient to meet pasture needs?</t>
  </si>
  <si>
    <t>2.252.4</t>
  </si>
  <si>
    <t>Top 3 measures suggested by KIs to improve water availability for pasture</t>
  </si>
  <si>
    <t>What measures would you suggest to improve water availability for pasture?</t>
  </si>
  <si>
    <t>Building water reservoirs, Rainwater harvesting, Water conservation education, [Other contextualized choices], Don't Know, Prefer Not to Answer</t>
  </si>
  <si>
    <t>2.253.1</t>
  </si>
  <si>
    <t>% of KIs reporting groups facing unequal access to water services (gender, ethnic groups, displacement status, …)</t>
  </si>
  <si>
    <t>Are there groups within the community that face difficulties in accessing water services?</t>
  </si>
  <si>
    <t>Yes people with disabilities have a lower access,
Yes women have a lower access,
Yes IDPs have a lower access,
Yes [specify context-relevant group and repeat for each], 
No, 
Don't know, 
Prefer not to answer</t>
  </si>
  <si>
    <t>2.253.2</t>
  </si>
  <si>
    <t>% of KIs reporting groups facing unequal access to water services (gender, ethnic groups, displacement status, …) by challenge</t>
  </si>
  <si>
    <t>For each group you mentioned, what are the specific difficulties or barriers they face when accessing water services?</t>
  </si>
  <si>
    <t>Limited access to healthcare facilities or clinics
Lack of transportation options to healthcare facilities
Financial constraints (e.g., inability to afford medical fees or medication)
Discrimination or bias in healthcare services
Insufficient healthcare resources or medical personnel
Language barriers in healthcare interactions
Health-related challenges (e.g., specific health needs not addressed)
Safety concerns related to healthcare facilities
Other (Please specify)</t>
  </si>
  <si>
    <t>2.254.1</t>
  </si>
  <si>
    <t>Water for Health Facilities</t>
  </si>
  <si>
    <t>% of health worker KIs reporting water availability for health facilities activities</t>
  </si>
  <si>
    <t>Is water readily available on the premises?</t>
  </si>
  <si>
    <t>JMP</t>
  </si>
  <si>
    <t>2.254.2</t>
  </si>
  <si>
    <t>% of health worker KIs by primary sources of water for health facilities</t>
  </si>
  <si>
    <t>What are the primary sources of water for health facilities?</t>
  </si>
  <si>
    <t>2.254.3</t>
  </si>
  <si>
    <t>% of health worker KIs by distance of primary sources of water for health facilities</t>
  </si>
  <si>
    <t xml:space="preserve">If not on the premises, how far away is the primary water source for this health facility? </t>
  </si>
  <si>
    <t>Integer: # in meteres</t>
  </si>
  <si>
    <t>2.254.4</t>
  </si>
  <si>
    <t>% of health worker KIs reporting the sufficiency of current water sources for health facility needs</t>
  </si>
  <si>
    <t>Are the current water sources sufficient to meet health facility needs?</t>
  </si>
  <si>
    <t>2.254.5</t>
  </si>
  <si>
    <t>Top 3 measures suggested by health worker KIs to improve water availability for health facilities</t>
  </si>
  <si>
    <t>2.255.1</t>
  </si>
  <si>
    <t>Sanitation and Hygiene for Health Facilities</t>
  </si>
  <si>
    <t>% of health worker Kis reporting toilet facilities meeting basic requirements of their health facility</t>
  </si>
  <si>
    <t>What kind of toilet facility does the health facility have, if any?</t>
  </si>
  <si>
    <t>2.255.2</t>
  </si>
  <si>
    <t>If toilet facility is present, does the toilet facility accessible to people with limited mobility?</t>
  </si>
  <si>
    <t>2.255.3</t>
  </si>
  <si>
    <t xml:space="preserve">If yes, is there at least one toilet seperated for men and women? </t>
  </si>
  <si>
    <t>2.255.4</t>
  </si>
  <si>
    <t xml:space="preserve">If yes, is there at least one toilet dedicated for staff? </t>
  </si>
  <si>
    <t>2.255.5</t>
  </si>
  <si>
    <t>% of health worker Kis reporting hand hygiene facilities meeting basic requirements for the health facility</t>
  </si>
  <si>
    <t xml:space="preserve">Does this health facility have a functional place to wash hands? </t>
  </si>
  <si>
    <t>2.255.6</t>
  </si>
  <si>
    <t xml:space="preserve">Is there soap and/or alcohol based hand rubs available for hand washing? </t>
  </si>
  <si>
    <t>Important to assess WASH in health facilities; https://washdata.org/monitoring/health-care-facilities</t>
  </si>
  <si>
    <t>2.255.7</t>
  </si>
  <si>
    <t xml:space="preserve">Are there hand washing facilities located at points of service care? </t>
  </si>
  <si>
    <t>2.255.8</t>
  </si>
  <si>
    <t xml:space="preserve">Is the hand washing facility located close to the toilets (within 5 meters)? </t>
  </si>
  <si>
    <t>1.1</t>
  </si>
  <si>
    <t>Core demographic data</t>
  </si>
  <si>
    <t>Age</t>
  </si>
  <si>
    <t>% of HHs by age of respondant</t>
  </si>
  <si>
    <t>What is the age of the respondent?</t>
  </si>
  <si>
    <t>[Integer]</t>
  </si>
  <si>
    <t>1.2</t>
  </si>
  <si>
    <t>% of HHs by age of household-head</t>
  </si>
  <si>
    <t>What is the age of the household head?</t>
  </si>
  <si>
    <t>A.1.12</t>
  </si>
  <si>
    <t>JIPS</t>
  </si>
  <si>
    <t>1.3</t>
  </si>
  <si>
    <t>% of HHs by gender of respondant</t>
  </si>
  <si>
    <t>What is the gender of the respondent?</t>
  </si>
  <si>
    <t>1.4</t>
  </si>
  <si>
    <t>% of HHs by gender of household-head</t>
  </si>
  <si>
    <t>What is the gender of the household head?</t>
  </si>
  <si>
    <t>A.1.11</t>
  </si>
  <si>
    <t>1.5a</t>
  </si>
  <si>
    <t>HH Composition</t>
  </si>
  <si>
    <t>% of HHs members in each gender and age category</t>
  </si>
  <si>
    <t>How many male members in your household are aged between 0-5 years? [Repeat this question for each age group]</t>
  </si>
  <si>
    <t>A.1.1</t>
  </si>
  <si>
    <t>Repeat this question for each age group relevant for the RC</t>
  </si>
  <si>
    <t>1.5b</t>
  </si>
  <si>
    <t>How many female members in your household are aged between 0-5 years? [Repeat this question for each age group]</t>
  </si>
  <si>
    <t>1.6</t>
  </si>
  <si>
    <t>HH Location</t>
  </si>
  <si>
    <t>% of HHs by geographic location (urban, rural, camp, etc)</t>
  </si>
  <si>
    <t>What is the geographic location of your household?</t>
  </si>
  <si>
    <t>Urban, Rural, Camp, Other</t>
  </si>
  <si>
    <t>A.1.3</t>
  </si>
  <si>
    <t>1.7</t>
  </si>
  <si>
    <t>HH size</t>
  </si>
  <si>
    <t>% of HHs by average household size</t>
  </si>
  <si>
    <t>[calculation based on previous indicators on family members]</t>
  </si>
  <si>
    <t>1.8</t>
  </si>
  <si>
    <t>Marital Status</t>
  </si>
  <si>
    <t>% of household-head by marital status (single, married, divorced, widowed)</t>
  </si>
  <si>
    <t>What is the marital status of the household head?</t>
  </si>
  <si>
    <t>Single, [based on the context Married monogamous, Married poligamous], Divorced, Widowed, Prefer not to answer</t>
  </si>
  <si>
    <t>1.9</t>
  </si>
  <si>
    <t>Minority group</t>
  </si>
  <si>
    <t>% of HHs by ethnicity (context specific)</t>
  </si>
  <si>
    <t>What is the ethnicity of the household?</t>
  </si>
  <si>
    <t>[Context-specific choices], Other, Prefer not to answer</t>
  </si>
  <si>
    <t>A.1.4</t>
  </si>
  <si>
    <t>Based on context, possible to adapt the question to assess each HH component</t>
  </si>
  <si>
    <t>1.10</t>
  </si>
  <si>
    <t>% of HHs by nationality (context specific)</t>
  </si>
  <si>
    <t>What is the nationality of the household?</t>
  </si>
  <si>
    <t>A.1.5</t>
  </si>
  <si>
    <t>1.11</t>
  </si>
  <si>
    <t>% of HHs by religion (context specific)</t>
  </si>
  <si>
    <t>What is the religion of the household?</t>
  </si>
  <si>
    <t>A.1.6</t>
  </si>
  <si>
    <t>1.12</t>
  </si>
  <si>
    <t>% of HHs by language (context specific)</t>
  </si>
  <si>
    <t>What is the primary language spoken in the household?</t>
  </si>
  <si>
    <t>A.1.7</t>
  </si>
  <si>
    <t>1.13.1</t>
  </si>
  <si>
    <t>Vulnerability</t>
  </si>
  <si>
    <t>% of individuals reporting difficulty seeing even when wearing glasses</t>
  </si>
  <si>
    <t>[Do/Does] [you/he/she] have difficulty seeing, even if wearing glasses? [Ask for each HH member]</t>
  </si>
  <si>
    <t>No difficulty, Some difficulty, A lot of difficulty, Cannot do at all, Prefer to not answer</t>
  </si>
  <si>
    <t>A.1.10</t>
  </si>
  <si>
    <t>WG-SS</t>
  </si>
  <si>
    <t>WG-SS are preferred to "% of HHs that have members with a physical or mental disability", to understand the prevalence of disabilities in a specific area. The full set of question must be asked. Please refers to the specific guidance at this link: https://www.washingtongroup-disability.com/fileadmin/uploads/wg/Washington_Group_Questionnaire__1_-_WG_Short_Set_on_Functioning__October_2022_.pdf</t>
  </si>
  <si>
    <t>1.13.2</t>
  </si>
  <si>
    <t>% of individuals reporting difficulty hearing even with hearing aids</t>
  </si>
  <si>
    <t>[Do/Does] [you/he/she] have difficulty hearing, even if using a hearing aid(s)? [Ask for each HH member]</t>
  </si>
  <si>
    <t>1.13.3</t>
  </si>
  <si>
    <t>% of individuals reporting difficulty walking or climbing steps</t>
  </si>
  <si>
    <t>[Do/Does] [you/he/she] have difficulty walking or climbing steps?[Ask for each HH member]</t>
  </si>
  <si>
    <t>1.13.4</t>
  </si>
  <si>
    <t>% of individuals reporting difficulty remembering/concentrating</t>
  </si>
  <si>
    <t>[Do/does] [you/he/she] have difficulty remembering or concentrating?[Ask for each HH member]</t>
  </si>
  <si>
    <t>1.13.5</t>
  </si>
  <si>
    <t>% of individuals reporting difficulty with self-care (including washing, dressing)</t>
  </si>
  <si>
    <t>[Do/does] [you/he/she] have difficulty with self-care, such as washing all over or 
dressing?[Ask for each HH member]</t>
  </si>
  <si>
    <t>1.13.6</t>
  </si>
  <si>
    <t>% of individuals reporting difficulty communicating</t>
  </si>
  <si>
    <t>Using [your/his/her] usual language, [do/does] [you/he/she] have difficulty 
communicating, for example understanding or being understood?[Ask for each HH member]</t>
  </si>
  <si>
    <t>1.14</t>
  </si>
  <si>
    <t>% of HHs with at least one member either pregnant or lactating</t>
  </si>
  <si>
    <t>Is there at least one member in the household who is either pregnant or lactating?</t>
  </si>
  <si>
    <t>1.15.1</t>
  </si>
  <si>
    <t>Access to information</t>
  </si>
  <si>
    <t>% of HHs by main source of information used for planning future movement</t>
  </si>
  <si>
    <t>Do you have enough information to decide where you would like to settle in the future?
[Posed to a random member of the household or the household as unit]</t>
  </si>
  <si>
    <t>B.4.1.1</t>
  </si>
  <si>
    <t>1.15.2</t>
  </si>
  <si>
    <t>If no, what type of information would you need in order to easier decide about future moves?
[Posed to a random member of the household or the household as unit]</t>
  </si>
  <si>
    <t xml:space="preserve">1. Information about political situation 
2. Information about security situation 
3. Information about security situation on transit routes 
4. Information about availability of basic services (food, water, shelter, education, health, etc.) 
5. Information about quality of basic services 
6. Information about availability of work and livelihood opportunities 
7. Information about access to area of housing/ land/ property 
8. Information about transport options 
9. Information about whether the household will have access to humanitarian aid
10. Information about how to obtain or renew documents (identity card, birth certificate etc.)
11. Other (specify) 
12. Don’t know 
13. Refused to respond </t>
  </si>
  <si>
    <t>B.4.1.2</t>
  </si>
  <si>
    <t>1.16</t>
  </si>
  <si>
    <t>What is your main source of information that supports your planning of future moves? 
[Posed to a random member of the household or the household as unit]</t>
  </si>
  <si>
    <t>1. Radio
2. TV
3. Internet and social media
4. Written in e.g. newspaper/ leaflets etc.
5. Community representatives
6. Friends and family
7. Other
8. Don’t know</t>
  </si>
  <si>
    <t>B.4.1.3</t>
  </si>
  <si>
    <t>1.17</t>
  </si>
  <si>
    <t>How do you prefer to get your information?
[Posed to a random member of the household or the household as unit]</t>
  </si>
  <si>
    <t>B.4.1.4</t>
  </si>
  <si>
    <t>1.18.1</t>
  </si>
  <si>
    <t>Concrete plans for future place of settlement</t>
  </si>
  <si>
    <t>% of HHs with concrete plans for future place of settlement within the next 6-12 months</t>
  </si>
  <si>
    <t>Does your household/do you have concrete plans to move within the next x months?
[Posed to a random member of the household or the household as unit]</t>
  </si>
  <si>
    <t>B.3.1.1</t>
  </si>
  <si>
    <t>Highly recommended for protracted displacement-related contexts. You can span from 3 to 12 months to understand the short term to long term movement intentions, according to the context and relief/revocery orientation of ABA</t>
  </si>
  <si>
    <t>1.18.2</t>
  </si>
  <si>
    <t>[if yes] Where are you/your household planning to move?
[Posed to a random member of the household or the household as unit]</t>
  </si>
  <si>
    <t>1. Different place within same neighbourhood
2. Different place in same city/area (not within same neighbourhood)
3. Elsewhere in the country (not place of origin)
4. Place of origin
5. Abroad</t>
  </si>
  <si>
    <t>B.3.1.2</t>
  </si>
  <si>
    <t>1.18.3</t>
  </si>
  <si>
    <t>[if yes] What is the main reason for this planned move?
[Posed to a random member of the household or the household as unit]</t>
  </si>
  <si>
    <t xml:space="preserve">1. Employment: household member got a job/started a business there, or is going to look for work
2. Educational reasons: to  begin school/higher education there / about to finish school  here
3. Health reasons: to access to medical services
4. Marital reasons: household member getting married or divorced 
5. Proximity to family/friends or community/clan member
6. Proximity to place of origin there
7. Cost of living/rent  in current housing/area is too high
8. Area in current location is too dangerous
9. Security there has improved/is better
10. Threat of eviction from current dwelling (by formal/informal armed forces; landlord; municipality or local government)
11. To have a bigger/better home there
12. Household has land/house there
13. Lack of food in current location
14. Availability of humanitarian assistance there
15. Available/known migration pathway
16. Other (specify)     </t>
  </si>
  <si>
    <t>B.3.1.3</t>
  </si>
  <si>
    <t>1.19.1</t>
  </si>
  <si>
    <t>% of HHs with concrete plans to return by main reason</t>
  </si>
  <si>
    <t>B.3.2</t>
  </si>
  <si>
    <t>Mandatory for protracted displacement-related contexts. You can span from 3 to 12 months to understand the short term to long term movement intentions, according to the context and relief/revocery orientation of ABA</t>
  </si>
  <si>
    <t>1.19.2</t>
  </si>
  <si>
    <t>% of HHs with concrete plans to remain in current location by main reason</t>
  </si>
  <si>
    <t>B.3.3</t>
  </si>
  <si>
    <t>Mandatory for protracted displacement-related contexts</t>
  </si>
  <si>
    <t>1.19.3</t>
  </si>
  <si>
    <t>% of HHs with concrete plans to settle elsewhere by main reason</t>
  </si>
  <si>
    <t>B.3.4</t>
  </si>
  <si>
    <t>1.20.1</t>
  </si>
  <si>
    <t>Conditions for future settlement options</t>
  </si>
  <si>
    <t>% of HHs, who would consider returning to place of habitual residence, by conditions needed for such return</t>
  </si>
  <si>
    <t>Would you/your household consider returning to where you lived before displacement, if some things changed?
[Posed to a random member of the household or the household as unit]</t>
  </si>
  <si>
    <t>B.2.1.1</t>
  </si>
  <si>
    <t>1.20.2</t>
  </si>
  <si>
    <t>If you think about the possibility of returning to where you lived before displacement, what are the 2 most important conditions that need to be in place? 
[Posed to a random member of the household or the household as unit]</t>
  </si>
  <si>
    <t>1. Ceasefire / peace
2. Disarmament of armed groups
3. Mine clearing
4. Presence of authorities
5. Reconstruction of house
6. Reclaim of house
7. Land ownership settlement
8. Access to land in home area
9. Access to food
10. Access to funds/ productive assets to re-establish business
11. Acceptance by non-displaced community in home area
12. Access to employment opportunities in home area
13. Better basic services (e.g. health &amp; education) in home area
14. Better basic infrastructure and public services
15. Financial assistance
16. Move/transportation assistance
17. Family re-unification 
18. Other, specify
19. No specific conditions
10. More information required about place of origin to respond to this question</t>
  </si>
  <si>
    <t>B.2.1.2</t>
  </si>
  <si>
    <t>1.21.1</t>
  </si>
  <si>
    <t>% of HHs, who would consider to remain in current place of residence, by main condition needed for staying</t>
  </si>
  <si>
    <t>Would you/your household consider remaining in your current location longer term?
[Posed to a random member of the household or the household as unit]</t>
  </si>
  <si>
    <t>B.2.2.1</t>
  </si>
  <si>
    <t>1.21.2</t>
  </si>
  <si>
    <t>[If yes] what do you consider most important for you/your household to be able to remain longer term in your current location?
[Posed to a random member of the household or the household as unit]</t>
  </si>
  <si>
    <t>1. Access to/provision of housing
2. Access to a farm plot and/or grazing land
3. Access to agricultural tools/seeds/livestock
4. Funds / productive assets for re-establishing business
5. Access to food
6. Access to employment
7. Access to basic services (e.g. education and health)
8. Access to social protection systems
9. Family re-unification
10. Acceptance by local non-displaced community
11. Other</t>
  </si>
  <si>
    <t>B.2.2.2</t>
  </si>
  <si>
    <t>1.22.1</t>
  </si>
  <si>
    <t>% of HHs, who would consider to settle elsewhere, by main condition needed for such settlement elsewhere</t>
  </si>
  <si>
    <t>Would you/your household consider settling in location [indicate specific location of possible settlement]?
[Posed to a random member of the household or the household as unit]</t>
  </si>
  <si>
    <t>B.2.3.1</t>
  </si>
  <si>
    <t>1.22.2</t>
  </si>
  <si>
    <t>[If yes] what do you consider most important for you/your household to be able to settle longer term in x location?
[Posed to a random member of the household or the household as unit]</t>
  </si>
  <si>
    <t>1. Access to/provision of housing
2. Access to a farm plot and/or grazing land
3. Access to agricultural tools/seeds/livestock
4. Funds / productive assets for re-establishing business
5. Access to food
6. Access to employment
7. Access to basic services (e.g. education and health)
8. Access to social protection systems
9. Family re-unification
10. Acceptance by local non-displaced community in identified location
11. Move/transportation assistance
11. Other</t>
  </si>
  <si>
    <t>B.2.3.2</t>
  </si>
  <si>
    <t>1.23.1</t>
  </si>
  <si>
    <t>Correct identification of IDPs</t>
  </si>
  <si>
    <t>% of household being forced to flee from their usual place of residence</t>
  </si>
  <si>
    <t>Have your HH even been forced or obliged to flee?</t>
  </si>
  <si>
    <t>IRIS</t>
  </si>
  <si>
    <r>
      <t>Mandatory for displacement-related contexts wh</t>
    </r>
    <r>
      <rPr>
        <sz val="10"/>
        <rFont val="Segoe UI"/>
        <family val="2"/>
      </rPr>
      <t>ere IDPs are not</t>
    </r>
    <r>
      <rPr>
        <sz val="10"/>
        <color theme="1"/>
        <rFont val="Segoe UI"/>
        <family val="2"/>
      </rPr>
      <t xml:space="preserve"> grouped in camps or camp-like settings </t>
    </r>
    <r>
      <rPr>
        <sz val="10"/>
        <rFont val="Segoe UI"/>
        <family val="2"/>
      </rPr>
      <t>and so difficult to be identified. Possible f</t>
    </r>
    <r>
      <rPr>
        <sz val="10"/>
        <color theme="1"/>
        <rFont val="Segoe UI"/>
        <family val="2"/>
      </rPr>
      <t>ollow up question: Does this apply to all members of the HH? If not, which members?</t>
    </r>
  </si>
  <si>
    <t>1.23.2</t>
  </si>
  <si>
    <t>% of HHs by date of initial displacement</t>
  </si>
  <si>
    <t>If yes, when was it?</t>
  </si>
  <si>
    <t>[insert date if YYYY,MM], or event, or text</t>
  </si>
  <si>
    <t>A.2.1</t>
  </si>
  <si>
    <t>Mandatory for displacement-related contexts where IDPs are not grouped in camps or camp-like settings and so difficult to be identified. Possible follow up question: If abroad, did you stay more than 12 months? ; Does this apply to all members of the HH? If not, which members?</t>
  </si>
  <si>
    <t>1.23.3</t>
  </si>
  <si>
    <t>% of HHs by area of origin</t>
  </si>
  <si>
    <t>If yes, where did you move from? / Where did you reside before you were forced or obliged to flee?</t>
  </si>
  <si>
    <t>[List of areas], Don't know, Prefer not to answer, Other (please specify)</t>
  </si>
  <si>
    <t>A.2.2</t>
  </si>
  <si>
    <t>1.23.4</t>
  </si>
  <si>
    <t>% of HHs by initial place of settlement</t>
  </si>
  <si>
    <t>If yes, where did you move to when you were forced or obliged to flee?</t>
  </si>
  <si>
    <t>Mandatory for displacement-related contexts where IDPs are not grouped in camps or camp-like settings and so difficult to be identified. Possible follow up question: Does this apply to all members of the HH? If not, which members?</t>
  </si>
  <si>
    <t>1.23.5</t>
  </si>
  <si>
    <t>% of HHs by main cause(s) of displacement</t>
  </si>
  <si>
    <t>If yes, why did you move from where you resided? / What was the reason you had to move?</t>
  </si>
  <si>
    <t>Conflict, Natural disaster, Economic reasons, [Other context-specific causes], Don't know, Prefer not to answer, Other (please specify)</t>
  </si>
  <si>
    <t>A.2.3</t>
  </si>
  <si>
    <t>1.24</t>
  </si>
  <si>
    <t>Discrimination</t>
  </si>
  <si>
    <t>% of HHs reporting having personally felt discriminated against or harassed in the previous X months</t>
  </si>
  <si>
    <t>In the past X months, have you felt discriminated against or harassed?</t>
  </si>
  <si>
    <t>A.3.1.1</t>
  </si>
  <si>
    <t>1.25</t>
  </si>
  <si>
    <t>% of HHs reporting having personally felt discriminated against or harassed in the previous X months on the basis of their displacement status</t>
  </si>
  <si>
    <t>In the past X months, have you felt discriminated against or harassed because of your displacement status?</t>
  </si>
  <si>
    <t>1.26</t>
  </si>
  <si>
    <t>Displacement &amp; mobility history</t>
  </si>
  <si>
    <t>% of HHs by number of moves after initial place of settlement</t>
  </si>
  <si>
    <t>How many times have you moved since your initial place of settlement?</t>
  </si>
  <si>
    <t>A.2.4</t>
  </si>
  <si>
    <t>1.27</t>
  </si>
  <si>
    <t>% of HHs by average time spent in current location</t>
  </si>
  <si>
    <t>How long have you been in your current location?</t>
  </si>
  <si>
    <t>A.2.7</t>
  </si>
  <si>
    <t>1.28</t>
  </si>
  <si>
    <t>Hosting dynamics</t>
  </si>
  <si>
    <t>% of displaced HHs hosted by non-displaced members</t>
  </si>
  <si>
    <t>Are you a displaced household hosted by non-displaced members?</t>
  </si>
  <si>
    <t>1.29.1</t>
  </si>
  <si>
    <t>% of HHs hosting others</t>
  </si>
  <si>
    <t>Are you hosting other households or individuals?</t>
  </si>
  <si>
    <t>1.29.2</t>
  </si>
  <si>
    <t># of individuals hosted in HH</t>
  </si>
  <si>
    <t>How many individuals are you currently hosting in your household?</t>
  </si>
  <si>
    <t>1.30.1</t>
  </si>
  <si>
    <t>Preferred place of settlement regardless of conditions</t>
  </si>
  <si>
    <t>% of HHs by preferred location of future settlement (current location, elsewhere in the country, or place of origin) regardless of conditions</t>
  </si>
  <si>
    <t>Do you/ your household want to leave this location at some point in time?
[Posed to a random member of the household or the household as unit]</t>
  </si>
  <si>
    <t>B.1.1.1</t>
  </si>
  <si>
    <t>1.30.2</t>
  </si>
  <si>
    <t xml:space="preserve">If, yes, where would you/your household prefer to live in the future? 
[Posed to a random member of the household or the household as unit]
</t>
  </si>
  <si>
    <t>1. Move to other area within the same area/city 
2. Return to location of origin
3. Settle elsewhere within the country
4. Abroad
5. Other
6. Don’t know</t>
  </si>
  <si>
    <t>B.1.1.2</t>
  </si>
  <si>
    <t>1.30.3</t>
  </si>
  <si>
    <t>% of HHs who feel free to pursue their preferred option</t>
  </si>
  <si>
    <t>Do you/your household have the resources (financial, material, information) required to pursue this preferred move [within the coming x months]?</t>
  </si>
  <si>
    <t>B.1.2.1</t>
  </si>
  <si>
    <t>1.30.4</t>
  </si>
  <si>
    <t>Thinking about the place you would prefer to move to, what are the main 2 reasons for preferring to live there?</t>
  </si>
  <si>
    <t>1. Better security
2. Better access to home/area of housing and area of livelihood/livestock
3. Better access to education and health services
4. Better access to livelihood/employment opportunities
5. Better access to basic infrastructure and public services
6. To continue living with family or community members/ family reasons
7. Access to humanitarian aid 
8. Decision by the community leader (if relevant to context)
9. Other reasons
10. Don't know
11. Refused to respond</t>
  </si>
  <si>
    <t>B.1.2.2</t>
  </si>
  <si>
    <t>1.30.5</t>
  </si>
  <si>
    <t>Main reported obstacles to pursue their preferred option</t>
  </si>
  <si>
    <t>[If not able to pursue the preferred move] What are the three main reason for you/ your household not being able to settle where you prefer? Rank them from the more to less important
[Posed to a random member of the household or the household as unit]</t>
  </si>
  <si>
    <t xml:space="preserve">1. Conflict is ongoing/ no ceasefire / no peace
2. Armed groups are still present/ lack of security 
3. Mines have not been cleared 
4. Destruction of/lack of access to original housing, land and/or other property 
5. Lack of/difficulty in finding housing
6. Lack of access to a farm plot and/or grazing land
7. Lack of agricultural tools/seeds/livestock
8. Lack of funds / productive assets for re-establishing business
9. Lack of required documentation to facilitate move/settling
10. Lack of access to markets 
11. Destruction of/ lack of local basic infrastructure 
12. Lack of skills to find work/ lack of access to employment
13. Lack of access to basic service (e.g. education and health) 
14. Will lose access to aid by moving away
15. Do not have transportation arrangement/ lack of financial means to facilitate move
16. Family has been separated to different places/ difficulties in family re-unification
17. No acceptance by local community/ discrimination in identified location
18. Other </t>
  </si>
  <si>
    <t>B.1.3</t>
  </si>
  <si>
    <t>1.31</t>
  </si>
  <si>
    <t>Pull factor</t>
  </si>
  <si>
    <t>% of HHs by main reason to choose current place of settlement</t>
  </si>
  <si>
    <t>What was the main reason you chose your current place of settlement?</t>
  </si>
  <si>
    <t>Security, Economic opportunities, Presence of family, [Other context-specific reasons], Don't know, Prefer not to answer, Other (please specify)</t>
  </si>
  <si>
    <t>A.2.6</t>
  </si>
  <si>
    <t>1.32</t>
  </si>
  <si>
    <t>Push factor</t>
  </si>
  <si>
    <t>% of HHs by main reason to move after initial place of settlement</t>
  </si>
  <si>
    <t>What was the main reason you moved from your initial place of settlement?</t>
  </si>
  <si>
    <t>Security concerns, Economic opportunities, Family reunification, [Other context-specific reasons], Don't know, Prefer not to answer, Other (please specify)</t>
  </si>
  <si>
    <t>A.2.5</t>
  </si>
  <si>
    <t>1.33</t>
  </si>
  <si>
    <t>Adaptation measures</t>
  </si>
  <si>
    <t>% of households undertaking climate adaptation measures, by type of measures and hazard</t>
  </si>
  <si>
    <t>What measures does your HH undertake to adapt to the climate-induced hazard?</t>
  </si>
  <si>
    <t>Adapt according to the hazard: e.g., drought: rainwater harvesting; water conserving techniques; shift to drought-resistant crops, etc.</t>
  </si>
  <si>
    <t>for KI - undertaken by KI as an DRM actor/DRM actors</t>
  </si>
  <si>
    <t>1.34.1</t>
  </si>
  <si>
    <t xml:space="preserve">
% of households received humanitarian aid prior the disaster for risk mitigation and  preparedness efforts
</t>
  </si>
  <si>
    <t>What type of aid has your HH received prior the disaster to reduce and mitigate disaster risk?</t>
  </si>
  <si>
    <t>Cash, Information on hazard risks, tangible items to reduce the risk,  tangible items to mitigate the impact, first aid kit, food/water for stockpiling, other</t>
  </si>
  <si>
    <t>1.34.2</t>
  </si>
  <si>
    <t>% of households received humanitarian aid in the immediate aftermath of disaster for relief efforts</t>
  </si>
  <si>
    <t>What type of aid has your HH received in the immediate aftermath of disaster for relief efforts?</t>
  </si>
  <si>
    <t>1.35</t>
  </si>
  <si>
    <t>% of households reporting the received aid was relevant and timely for disaster preparedness and response</t>
  </si>
  <si>
    <t>Was the aid your HH received relevant and timely for disaster preparedness and response?</t>
  </si>
  <si>
    <t>Timely and relevant, timely but not relevant, timely but somehow relevant, not timely but relevant, somehow timely but not relevant, not timely and not relevant, other, prefer not to answer</t>
  </si>
  <si>
    <t>1.36</t>
  </si>
  <si>
    <t>% of households reporting barriers to implement disaster risk mitigation measures, by type of barrier</t>
  </si>
  <si>
    <t>Has your HH faced any barriers when trying to implement disaster risk mitigation measures?</t>
  </si>
  <si>
    <t>Financial constraints, Lack of knowledge, Lack of resources, Cultural beliefs, Lack of community support, [Other contextualized choices], Don't Know, Prefer Not to Answer</t>
  </si>
  <si>
    <t>for KI - barriers for KI as an DRM actor/DRM actors</t>
  </si>
  <si>
    <t>1.37</t>
  </si>
  <si>
    <t>% of households reporting barriers to implement disaster preparedness measures, by type of barrier</t>
  </si>
  <si>
    <t>Has your HH faced any barriers when trying to implement disaster preparedness measures?</t>
  </si>
  <si>
    <t>Financial constraints, Lack of training, No access to early warning systems, Cultural beliefs, [Other contextualized choices], Don't Know, Prefer Not to Answer</t>
  </si>
  <si>
    <t>1.38</t>
  </si>
  <si>
    <t>% of households reporting having barriers to cope with disastrous event, by type of barrier</t>
  </si>
  <si>
    <t>Has your HH faced any barriers when trying to cope with a disastrous event?</t>
  </si>
  <si>
    <t>Lack of emergency funds, No access to safe shelter, No access to emergency services, Cultural beliefs, [Other contextualized choices], Don't Know, Prefer Not to Answer</t>
  </si>
  <si>
    <t>1.39</t>
  </si>
  <si>
    <t xml:space="preserve">% of households reporting having barriers to adapt to climate change, by type of barrier </t>
  </si>
  <si>
    <t>Has your HH faced any barriers when trying to adapt to climate change?</t>
  </si>
  <si>
    <t>Financial constraints, Lack of knowledge, No access to technology, Cultural beliefs, [Other contextualized choices], Don't Know, Prefer Not to Answer</t>
  </si>
  <si>
    <t>1.40.1</t>
  </si>
  <si>
    <t>Disaster Risk Management</t>
  </si>
  <si>
    <t>Emergency response coordination mechanism present in the area</t>
  </si>
  <si>
    <t>Is a disaster response mechanism/platofrm/council present in the area?</t>
  </si>
  <si>
    <t>1.40.2</t>
  </si>
  <si>
    <t>If yes, what entity is leading this mechanism/platform/council?</t>
  </si>
  <si>
    <t>Local authorities (specify), [other contextualised choices], Don't know, Prefer to not answer</t>
  </si>
  <si>
    <t>1.41</t>
  </si>
  <si>
    <t>% of KIs reporting having enough emergency shelters for emergency situations (fire, floods, cyclon, earthquakes)</t>
  </si>
  <si>
    <t>Do you believe there are enough emergency shelters in the area for situations like fire, floods, cyclones, earthquakes?</t>
  </si>
  <si>
    <t>1.42</t>
  </si>
  <si>
    <t>DRR, Climate Adaptation and Disaster Contingency Plans developed and functioning in the area</t>
  </si>
  <si>
    <t>Please, list all DRR, Climate Adaptation, and Disaster Contingency Plans available at the national, regional and local levels?</t>
  </si>
  <si>
    <t>Text or Don`t know, Absent</t>
  </si>
  <si>
    <t>1.43</t>
  </si>
  <si>
    <t>% of KIs reporting having evacuation routes mapped and communicated to the community</t>
  </si>
  <si>
    <t>Have evacuation routes been mapped and communicated to the community?</t>
  </si>
  <si>
    <t>Yes, No, Partly,  Don't know, Prefer not to answer</t>
  </si>
  <si>
    <t>1.44</t>
  </si>
  <si>
    <t>Disaster Risk Management coordination mechanism present and functioning in the area</t>
  </si>
  <si>
    <t>Is there a Disaster Risk Management coordination mechanism present and functioning in the area?</t>
  </si>
  <si>
    <t>Yes, No, Partly, Don't know, Prefer not to answer</t>
  </si>
  <si>
    <t>1.45</t>
  </si>
  <si>
    <t>Actors involved in Disaster Risk Management in the area with roles and responsibilities, by actor</t>
  </si>
  <si>
    <t>What national, regional and local DRM actors are involved into the coordination mechanism, and what are their roles and responsibilities?</t>
  </si>
  <si>
    <t>Text</t>
  </si>
  <si>
    <t>1.46</t>
  </si>
  <si>
    <t>DRR measures</t>
  </si>
  <si>
    <t xml:space="preserve">% of households undertaking measures to reduce the risk of disaster, by type of measures and hazard
</t>
  </si>
  <si>
    <t>Has your HH undertaken any measures to reduce the risk of a disaster? If Yes, What are these measures?</t>
  </si>
  <si>
    <t>Building stronger homes, Relocating to safer areas, Stockpiling emergency supplies, [Other contextualized choices], Don't Know, Prefer Not to Answer. Also can be adapted to the hazard: e.g.,flood: floodplain zoning, levees and flood walls construction, grainage system management, channelization, wetland restoration, etc.</t>
  </si>
  <si>
    <t>1.47</t>
  </si>
  <si>
    <t>Early Warning</t>
  </si>
  <si>
    <t xml:space="preserve">Early warning system effectiveness </t>
  </si>
  <si>
    <t>Select from the list what corresponds to the Early Waning System in your area&gt;</t>
  </si>
  <si>
    <t>The system is in place, the data for EW is timely and correctly collected, community members are aware of the system, community receive from it timely, accurate and actionable information.</t>
  </si>
  <si>
    <t>1.48</t>
  </si>
  <si>
    <t>% of households reporting having early warning access</t>
  </si>
  <si>
    <t xml:space="preserve">Has your HH received an early warning of impending hazard? </t>
  </si>
  <si>
    <t>Yes, No, Hard to say, Prefer not to answer</t>
  </si>
  <si>
    <t>1.49</t>
  </si>
  <si>
    <t>% of households reporting receiving early warning in a timely and accurate manner</t>
  </si>
  <si>
    <t>Has your HH received early warnings about potential disasters in a timely and accurate manner?</t>
  </si>
  <si>
    <t>Timely and accurate, timely but not accurate, timely but somehow accurate, not timely but accurate, somehow timely but not accurate, not timely and not accurate, other, prefer not to answer</t>
  </si>
  <si>
    <t>1.50</t>
  </si>
  <si>
    <t>% of households by used source of information for awareness raising on disaster risks and emergency actions</t>
  </si>
  <si>
    <t>What source of information does you HH rely on to get information about the risks the community is facing in relation to disasters and emergency actions?</t>
  </si>
  <si>
    <t>Local radio, Television, Community meetings, Social media, Local authorities, NGOs/aid agencies, [Other contextualized choices], Don't Know, Prefer Not to Answer</t>
  </si>
  <si>
    <t>1.51</t>
  </si>
  <si>
    <t>% of households by prefered means of communication for receiving early warning and emergency actions coordination</t>
  </si>
  <si>
    <t>What is the preferred mean of communication for your HH for receiving early warning signs and coordinating emergency actions?</t>
  </si>
  <si>
    <t>Local radio, SMS alerts, Loudspeakers, Community leaders, Phone calls, Social media, [Other contextualized choices], Don't Know, Prefer Not to Answer</t>
  </si>
  <si>
    <t>1.52</t>
  </si>
  <si>
    <t>Exposure</t>
  </si>
  <si>
    <t>% of households/population (agricultural lands (ha)/ residential buildings/refugee shelters (#)/critical infrustructure (# , by type) exposed to the hazard</t>
  </si>
  <si>
    <t>How many HHs/people (agricultural lands (ha or km2)/building assets and critical infrastructure facilities/type of facility) are exposed to each hazard?</t>
  </si>
  <si>
    <t xml:space="preserve">choose exposed element according to the context and hazard, best to address this indicator via participatory hazard mapping and GIS analysis. This indicator refers to information that is better to gather through (or complemented by) semi-structured data collection tools and subsequent qualitative analysis for a deeper understanding (the question must be adapted for semi-structured tools, and not be used in semi-structured tool as it is). If qualitative data collection is not possible, those indicators must be adapted to the context and several structured questions - with an appropriate follow up and skip logic - might be asked to collecting data on the same indicator. </t>
  </si>
  <si>
    <t>1.53</t>
  </si>
  <si>
    <t>% of households exposed to key hazards, by type of hazard and type of vulnerability</t>
  </si>
  <si>
    <t>In the recent 3 years, has your HH been exposed to any of the listed hazards?</t>
  </si>
  <si>
    <t>Adapt to the context: Flood, drought, cyclone, landslide, land degradation, heat wave, cold wave, deforestation, water scarcity, sand storm, earthquake, tsunami, volcanic eruption, hazardous facilities, waste disposal. others</t>
  </si>
  <si>
    <t>choose exposed element according to the context and hazard, best to address this indicator via participatory hazard mapping and GIS analysis. Vulnerability analysis from indicators 1.54.1 and 1.1 - 1.14</t>
  </si>
  <si>
    <t>1.54</t>
  </si>
  <si>
    <t># of basic services facilities (health, education, social protection, WASH, market) exposed to the main hazards , by type of facility and hazard</t>
  </si>
  <si>
    <t xml:space="preserve">How many and what type of basic service facilities/ critical infrastructure are exposed to the key hazards? </t>
  </si>
  <si>
    <t>integer and group name (health, education, WASH, market)</t>
  </si>
  <si>
    <t>1.55</t>
  </si>
  <si>
    <t>Hazard trends</t>
  </si>
  <si>
    <t>Main records of hazard manifestation (duration, intensity, number of people affected) - Seasonal Hazard Calendar</t>
  </si>
  <si>
    <t>What are the characteristics of the most predominant hazards? What is the usual extent, duration, internsity, seasonality, severity (number of people affected) of the hazard?</t>
  </si>
  <si>
    <t xml:space="preserve">Best to adress this indicator via SDR and/or GIS analysis. This indicator refers to information that is better to gather through (or complemented by) semi-structured data collection tools and subsequent qualitative analysis for a deeper understanding (the question must be adapted for semi-structured tools, and not be used in semi-structured tool as it is). If qualitative data collection is not possible, those indicators must be adapted to the context and several structured questions - with an appropriate follow up and skip logic - might be asked to collecting data on the same indicator. </t>
  </si>
  <si>
    <t>1.56</t>
  </si>
  <si>
    <t>Hazards types</t>
  </si>
  <si>
    <t xml:space="preserve">Top 3 hazards affecting the area, by type of hazard
</t>
  </si>
  <si>
    <t>What are the main three hazards of concern in the area?</t>
  </si>
  <si>
    <t>Best to address this indicator via participatory hazard mapping and GIS analysis</t>
  </si>
  <si>
    <t>1.57</t>
  </si>
  <si>
    <t>Impact</t>
  </si>
  <si>
    <t>% of households being directy impacted by hazard(s), by type of impact and hazard</t>
  </si>
  <si>
    <t>What is a direct impact of the hazards on your HH per type of impact and type of hazard ?</t>
  </si>
  <si>
    <t>Physical damage of property/shelter, loss of assets, loss of life, injury, environmental damage, displacement, others</t>
  </si>
  <si>
    <t>for KI - affect on community</t>
  </si>
  <si>
    <t>1.58</t>
  </si>
  <si>
    <t>% of households being inydirecty impacted by hazard(s), by type of impact and hazard</t>
  </si>
  <si>
    <t>What is indirect impact of hazards on your HH per type of impact and type of hazard?</t>
  </si>
  <si>
    <t>Epidemics, loss of livelihood sources, yield loss, interruption of education, others</t>
  </si>
  <si>
    <t>1.59</t>
  </si>
  <si>
    <t>Livelihood zones</t>
  </si>
  <si>
    <t xml:space="preserve">Main livelihood zones present in the area
</t>
  </si>
  <si>
    <t>What livelihood zones are present in the area?  Probe: Which of them are sensitive to climate change?</t>
  </si>
  <si>
    <t xml:space="preserve">List of Livelihood zones can be found here: https://fews.net/data/livelihood-zones </t>
  </si>
  <si>
    <t>Livelihood Zones | FEWS NET</t>
  </si>
  <si>
    <t>1.60</t>
  </si>
  <si>
    <t>Assisstance preferred</t>
  </si>
  <si>
    <t>% of households, by preferred means/modality of aid for risk mitigation and disaster preparedness , by type of aid</t>
  </si>
  <si>
    <t>What are the preferred means of aid your HH is willing to receive to be better prepare fo and cope with disaster next time ?</t>
  </si>
  <si>
    <t>1.61</t>
  </si>
  <si>
    <t>Preparedness measures</t>
  </si>
  <si>
    <t xml:space="preserve">% of households undertaking preparedness measures in anticipation of disaster per type of measures
</t>
  </si>
  <si>
    <t>Has your HH undertaken any preparedness measures in anticipation of a disaster? If Yes, What are these measures?</t>
  </si>
  <si>
    <t>Attending training sessions, Creating family emergency plans, Stockpiling food and water, [Other contextualized choices], Don't Know, Prefer Not to Answer</t>
  </si>
  <si>
    <t>1.62</t>
  </si>
  <si>
    <t>Risk perception</t>
  </si>
  <si>
    <t>% of individuals with realistic risk perception</t>
  </si>
  <si>
    <r>
      <t>Among the hazards you have mentioned, which ones do</t>
    </r>
    <r>
      <rPr>
        <sz val="10"/>
        <color rgb="FFFF0000"/>
        <rFont val="Segoe UI"/>
        <family val="2"/>
      </rPr>
      <t xml:space="preserve"> </t>
    </r>
    <r>
      <rPr>
        <sz val="10"/>
        <rFont val="Segoe UI"/>
        <family val="2"/>
      </rPr>
      <t>you believe are posing the real threat or can potentially negatively impact your HH?</t>
    </r>
  </si>
  <si>
    <t>Flood, drought, cyclone, landslide, land degradation, heat wave, cold wave, deforestation, water scarcity, sand storm, earthquake, tsunami, volcanic eruption, hazardous facilities, waste disposal. others</t>
  </si>
  <si>
    <t>1.63</t>
  </si>
  <si>
    <t>Risks knowledge, skills and awareness</t>
  </si>
  <si>
    <t>% of households having received education or acquired skills relating to local risks</t>
  </si>
  <si>
    <t>Have members of your HH received education or acquired skills relating to local risks?</t>
  </si>
  <si>
    <t>Yes, No, Some members, Don't Know, Prefer Not to Answer</t>
  </si>
  <si>
    <t>1.64.1</t>
  </si>
  <si>
    <t>Participation in political affairs</t>
  </si>
  <si>
    <t>% of HHs with at least one member registered to vote</t>
  </si>
  <si>
    <t>Are you, or any members of your family, registered / or able to register to vote in national / local elections?</t>
  </si>
  <si>
    <t>7.1.1</t>
  </si>
  <si>
    <t>Relevant in internal displacement context</t>
  </si>
  <si>
    <t>1.64.2</t>
  </si>
  <si>
    <t>% of HHs with at least one member eligible to vote who voted in the last national/local election held - depending on election timing</t>
  </si>
  <si>
    <t xml:space="preserve">Did you, or any member of your family, vote in the last national / local election? </t>
  </si>
  <si>
    <t>7.1.2</t>
  </si>
  <si>
    <t>1.64.3</t>
  </si>
  <si>
    <t>% of HHs who did not vote in the last national/local election held by main reason</t>
  </si>
  <si>
    <t>[If have not voted] Why not?</t>
  </si>
  <si>
    <t>1. Not interested
2. Will not change anything
3. Fear of violence
4. Do not have the time 
5. Not registered
6. To long to travel
7. Other</t>
  </si>
  <si>
    <t>7.1.3</t>
  </si>
  <si>
    <t>1.65</t>
  </si>
  <si>
    <t>Social cohesion</t>
  </si>
  <si>
    <t>Communities' interactions and relationships</t>
  </si>
  <si>
    <t>% of HHs reporting willingness to cooperate with community members in the event of community issues</t>
  </si>
  <si>
    <t>Are you willing to cooperate with community members in the event of community issues?</t>
  </si>
  <si>
    <t>1.66</t>
  </si>
  <si>
    <t>% of HHs with a member participating in a community organization/association in the last X months</t>
  </si>
  <si>
    <t>Has any member of your household participated in a community organization or association in the last X months?</t>
  </si>
  <si>
    <t>7.2.1</t>
  </si>
  <si>
    <t>1.67</t>
  </si>
  <si>
    <t>% of HHs with regular access to a community leader</t>
  </si>
  <si>
    <t>Do you have regular access to a community leader?</t>
  </si>
  <si>
    <t>1.68</t>
  </si>
  <si>
    <t>% of HHs feeling able to contribute to decision-making in their area</t>
  </si>
  <si>
    <t>Do you feel able to contribute to decision-making in your area?</t>
  </si>
  <si>
    <t>7.1.4.1</t>
  </si>
  <si>
    <t>1.69</t>
  </si>
  <si>
    <t>% of HHs lacking trust in people from other groups in their area</t>
  </si>
  <si>
    <t>Do you lack trust in people from other groups in your area?</t>
  </si>
  <si>
    <t>1.70</t>
  </si>
  <si>
    <t>% of HHs expressing a need for reconciliation between different groups within their area</t>
  </si>
  <si>
    <t>Do you feel there's a need for reconciliation between different groups within your area?</t>
  </si>
  <si>
    <t>1.71</t>
  </si>
  <si>
    <t>% of HHs  involved in local reconciliation initiatives, confidence-building initiatives, or formal peace processes in last 6 months</t>
  </si>
  <si>
    <t>Have you been involved in local reconciliation initiatives, confidence-building initiatives, or formal peace processes in the last 6 months?</t>
  </si>
  <si>
    <t>7.3.1</t>
  </si>
  <si>
    <t>1.72</t>
  </si>
  <si>
    <t>% of HHs having close friends or regular interactions from other ethnic/religious groups in the area</t>
  </si>
  <si>
    <t>Do you have close friends or regular interactions from other ethnic or religious groups in your area?</t>
  </si>
  <si>
    <t>1.73</t>
  </si>
  <si>
    <t>% of HHs reporting attendance at social events</t>
  </si>
  <si>
    <t>Have you attended any social events recently?</t>
  </si>
  <si>
    <t>1.74</t>
  </si>
  <si>
    <t>% of HHs recognizing the advantage of organizing more social activities</t>
  </si>
  <si>
    <t>Do you recognize the advantage of organizing more social activities in your community?</t>
  </si>
  <si>
    <t>1.75</t>
  </si>
  <si>
    <t>% of HHs where women feel they have an equal voice in community decisions as men</t>
  </si>
  <si>
    <t>Do you feel you have an equal voice in community decisions as men? [ask only to women respondents]</t>
  </si>
  <si>
    <t xml:space="preserve">Gender disaggregation (respondant). This indicator refers to information that is better to gather through (or complemented by) semi-structured data collection tools and subsequent qualitative analysis for a deeper understanding (the question must be adapted for semi-structured tools, and not be used in semi-structured tool as it is). If qualitative data collection is not possible, those indicators must be adapted to the context and several structured questions - with an appropriate follow up and skip logic - might be asked to collecting data on the same indicator. </t>
  </si>
  <si>
    <t>1.76</t>
  </si>
  <si>
    <t>% of HHs with youth members participating in community youth programs or initiatives</t>
  </si>
  <si>
    <t>Do any youth members of your household participate in community youth programs or initiatives?</t>
  </si>
  <si>
    <t>1.77</t>
  </si>
  <si>
    <t>% of HHs engaging in trade or business with members from other community groups</t>
  </si>
  <si>
    <t>Do you engage in trade or business with members from other community groups?</t>
  </si>
  <si>
    <t>1.78</t>
  </si>
  <si>
    <t>Top 3 most significant social issues faced by HHs in the area</t>
  </si>
  <si>
    <t>What are the top 3 most significant social issues faced by households in your area?</t>
  </si>
  <si>
    <t>1. [Contextualised choice], 2. [Contextualised choice], 3. [Contextualised choice]
from list of contextualised choices</t>
  </si>
  <si>
    <t>1.79</t>
  </si>
  <si>
    <t>% of HHs agreeing on people's willingness to help their neighbors</t>
  </si>
  <si>
    <t>Do you agree that people in your community are willing to help their neighbors?</t>
  </si>
  <si>
    <t>1.80</t>
  </si>
  <si>
    <t>% of HHs trusting local governance stakeholders</t>
  </si>
  <si>
    <t>Do you trust local governance stakeholders?</t>
  </si>
  <si>
    <t>1.81</t>
  </si>
  <si>
    <t>% of HH by main form of communication used with local governance stakeholders</t>
  </si>
  <si>
    <t>What is your main form of communication used with local governance stakeholders?</t>
  </si>
  <si>
    <t>In-person, Assembly, Community meeting, [contextualised list], Other (specify), prefer to not answer</t>
  </si>
  <si>
    <t>1.82</t>
  </si>
  <si>
    <t>Conflict Resolution</t>
  </si>
  <si>
    <t>% of KIs who believe local leadership effectively mediated conflicts in last X months</t>
  </si>
  <si>
    <t>Do you believe local leadership effectively mediated conflicts in the last X months?</t>
  </si>
  <si>
    <t>1.83</t>
  </si>
  <si>
    <t>% of HHs aware of and satisfied with local conflict resolution mechanisms</t>
  </si>
  <si>
    <t>Are you aware of and satisfied with local conflict resolution mechanisms?</t>
  </si>
  <si>
    <t>Aware: Yes, No, Don't know, Prefer to not answer; Satisfied: Yes, No, Don't know, Prefer to not answer</t>
  </si>
  <si>
    <t>1.84</t>
  </si>
  <si>
    <t>% of KIs aware of traditional conflict resolution mechanisms used in the last year</t>
  </si>
  <si>
    <t>Are you aware of any traditional conflict resolution mechanisms used in the last year?</t>
  </si>
  <si>
    <t>Elder mediation councils, Community reconciliation ceremonies, Traditional conflict resolution rituals, Restorative justice practices, Local leader arbitrations, Clan or tribal dispute resolutions, [contextualised choides], No, Don't know, Prefer to not answer</t>
  </si>
  <si>
    <t>1.85</t>
  </si>
  <si>
    <t>% of KIs who found traditional conflict resolution mechanisms effective in the past year</t>
  </si>
  <si>
    <t>Did you find traditional conflict resolution mechanisms effective in the past year?</t>
  </si>
  <si>
    <t>1.86</t>
  </si>
  <si>
    <t>% of KIs reporting initiatives or programs aimed at promoting social cohesion between IDPs and host communities</t>
  </si>
  <si>
    <t>Are you aware of any initiatives or programs aimed at promoting social cohesion between IDPs and host communities?</t>
  </si>
  <si>
    <t>Yes Community dialogues, Yes Joint community projects, Yes Cultural exchange programs, Yes Sports events, Yes Educational programs, Yes NGO interventions, Yes Government policies, Other (please specify), No, Don't know, Prefer to not answer</t>
  </si>
  <si>
    <t>1.87</t>
  </si>
  <si>
    <t>% of KIs identifying areas or instances where IDPs have positively contributed to local community dynamics</t>
  </si>
  <si>
    <t>Can you identify areas or instances where IDPs have positively contributed to local community dynamics?</t>
  </si>
  <si>
    <t>Economic growth (e.g., new businesses), Cultural exchange, Skill sharing or training, Community projects, Educational contributions, Social events or gatherings, Other (please specify)</t>
  </si>
  <si>
    <t>1.88</t>
  </si>
  <si>
    <t>% of KIs reporting the role of local leaders or influencers in mediating between IDPs and host communities</t>
  </si>
  <si>
    <t>Are you aware of the role of local leaders or influencers in mediating between IDPs and host communities?</t>
  </si>
  <si>
    <t>1.89</t>
  </si>
  <si>
    <t>% of KIs reporting collaborations between local stakeholders and external entities for promoting social cohesion</t>
  </si>
  <si>
    <t>Are you aware of collaborations between local stakeholders and external entities for promoting social cohesion?</t>
  </si>
  <si>
    <t>1.90</t>
  </si>
  <si>
    <t>% of KIs aware of any discriminatory practices or policies in the community in the last X months, by discriminated group</t>
  </si>
  <si>
    <t>Are you aware of any discriminatory practices or policies in the community in the last X months?</t>
  </si>
  <si>
    <t>yes towards Ethnic minorities (specify), yes towards Religious minorities (specify), yes towards Women, yes towards LGBTQ+ community, yes towards Disabled individuals, Other (please specify), No, Don't know, Prefer to not answer</t>
  </si>
  <si>
    <t>1.91</t>
  </si>
  <si>
    <t>% of KIs aware of initiatives promoting inclusivity in the community in the past year, by type of initiative</t>
  </si>
  <si>
    <t>Are you aware of initiatives promoting inclusivity in the community in the past year?</t>
  </si>
  <si>
    <t>Community dialogues, Inclusivity workshops, Awareness campaigns, School programs, Government policies, NGO interventions, Other (please specify), No, Don't know, Prefer to not answer</t>
  </si>
  <si>
    <t>1.92</t>
  </si>
  <si>
    <t>% of KIs able to identify marginalized groups within the community in the past X months</t>
  </si>
  <si>
    <t xml:space="preserve">Can you identify any groups that have more difficulties than otherto access services or groups that face discrimination ? </t>
  </si>
  <si>
    <t>Ethnic minorities (specify), Religious minorities (specify), Women, LGBTQ+ community, Disabled individuals, Refugees or migrants, Other (please specify)</t>
  </si>
  <si>
    <t>1.93</t>
  </si>
  <si>
    <t>% of HHs feeling positive about migration to their area from other parts of the country</t>
  </si>
  <si>
    <t>Do you feel positive about migration to your area from other parts of the country?</t>
  </si>
  <si>
    <t>1.94</t>
  </si>
  <si>
    <t>% of KIs aware of collaborations aimed at promoting social cohesion in the last X months, by type of measure</t>
  </si>
  <si>
    <t>Are you aware of collaborations aimed at promoting social cohesion in the last X months?</t>
  </si>
  <si>
    <t>Inter-community dialogues, Joint community projects, Cultural exchange programs, Sports events, Educational programs, Other (please specify), No, Don't know, Prefer to not answer</t>
  </si>
  <si>
    <t>1.95</t>
  </si>
  <si>
    <t>Root Causes of Conflicts</t>
  </si>
  <si>
    <t>% of HHs or KIs identifying resource scarcity (eg, water, land, jobs) as a primary cause of tension</t>
  </si>
  <si>
    <t>Is resource scarcity a primary cause of tension between X and Y?</t>
  </si>
  <si>
    <t>1.96</t>
  </si>
  <si>
    <t>% of HHs or KIs identifying political or governance issues as a primary cause of tension</t>
  </si>
  <si>
    <t>Do you identify political or governance issues as a primary cause of tension?</t>
  </si>
  <si>
    <t>1.97</t>
  </si>
  <si>
    <t>% of HHs or KIs identifying ethnic, religious, or cultural differences as a primary cause of tension</t>
  </si>
  <si>
    <t>Do you identify ethnic, religious, or cultural differences as a primary cause of tension?</t>
  </si>
  <si>
    <t>1.98</t>
  </si>
  <si>
    <t>% of HHs or KIs identifying historical grievances or past events as a primary cause of tension</t>
  </si>
  <si>
    <t>Do you identify historical grievances or past events as a primary cause of tension?</t>
  </si>
  <si>
    <t>1.99</t>
  </si>
  <si>
    <t>% of HHs or KIs identifying economic disparities or unemployment as a primary cause of tension</t>
  </si>
  <si>
    <t>Do you identify economic disparities or unemployment as a primary cause of tension?</t>
  </si>
  <si>
    <t>1.100</t>
  </si>
  <si>
    <t>% of HHs or KIs identifying land ownership or territorial disputes as a primary cause of tension</t>
  </si>
  <si>
    <t>Do you identify land ownership or territorial disputes as a primary cause of tension?</t>
  </si>
  <si>
    <t>1.101</t>
  </si>
  <si>
    <t>% of HHs or KIs identifying external influences or interference as a primary cause of tension</t>
  </si>
  <si>
    <t>Do you identify external influences or interference as a primary cause of tension?</t>
  </si>
  <si>
    <t>1.102</t>
  </si>
  <si>
    <t>% of HHs or KIs able to identify primary community leaders</t>
  </si>
  <si>
    <t>Can you identify primary community leaders?</t>
  </si>
  <si>
    <t>Religious leaders, Local government officials, Elders, Youth leaders, Women leaders, NGO representatives, Other (please specify), No, Don't know, Prefer to not answer</t>
  </si>
  <si>
    <t>1.103</t>
  </si>
  <si>
    <t>% of HHs or KIs aware of active community-based organizations, by type of area of intervention</t>
  </si>
  <si>
    <t>Are you aware of active community-based organizations?</t>
  </si>
  <si>
    <t>If yes: Women's groups, Youth organizations, Religious organizations, Environmental groups, Health-focused organizations, Education-focused groups, Other (please specify), No, Don't know, Prefer to not answer</t>
  </si>
  <si>
    <t>1.104</t>
  </si>
  <si>
    <t>% of HHs or KIs who believe external support enhanced social cohesion in the community in the last X months, by result</t>
  </si>
  <si>
    <t>Do you believe external support enhanced social cohesion in the community in the last X months?</t>
  </si>
  <si>
    <t>1.105</t>
  </si>
  <si>
    <t>% of HHs or KIs who observed external actors or events influencing community tensions in the last X months</t>
  </si>
  <si>
    <t>Have you observed external actors or events influencing community tensions in the last X months?</t>
  </si>
  <si>
    <t>Yes (specify) or [list of actors], No, Don't know, Prefer to not answer</t>
  </si>
  <si>
    <t>1.106</t>
  </si>
  <si>
    <t>% of HHs or KIs able to identify key actors involved in conflict mediation in the past X months</t>
  </si>
  <si>
    <t>Can you identify key actors involved in conflict mediation in the past X months?</t>
  </si>
  <si>
    <t>Local government, Religious leaders, Elders, NGOs, International organizations, Women's groups, Other (please specify), No, Don't know, Prefer to not answer</t>
  </si>
  <si>
    <t>Indicator #</t>
  </si>
  <si>
    <t>Criteria</t>
  </si>
  <si>
    <t>Topic</t>
  </si>
  <si>
    <t>Indicator name</t>
  </si>
  <si>
    <t>Questions</t>
  </si>
  <si>
    <t>Answering options [ALL NEEDS TO BE CONTEXTUALISED]</t>
  </si>
  <si>
    <t>Description / Definition / Text</t>
  </si>
  <si>
    <t>A.  Core demographic data</t>
  </si>
  <si>
    <t>A.1 Basic demographics</t>
  </si>
  <si>
    <t xml:space="preserve">Target population by sex </t>
  </si>
  <si>
    <t xml:space="preserve">Is [Name] male or female? </t>
  </si>
  <si>
    <t>1. Male
2. Female</t>
  </si>
  <si>
    <r>
      <rPr>
        <b/>
        <sz val="10"/>
        <color theme="1"/>
        <rFont val="Calibri (Body)"/>
      </rPr>
      <t>Unit of measurement:</t>
    </r>
    <r>
      <rPr>
        <sz val="10"/>
        <color theme="1"/>
        <rFont val="Calibri (Body)"/>
      </rPr>
      <t xml:space="preserve"> Individual</t>
    </r>
  </si>
  <si>
    <t>A.1.2</t>
  </si>
  <si>
    <t>Target population by age</t>
  </si>
  <si>
    <t>What is [Name's] date [or year] of birth?</t>
  </si>
  <si>
    <t>[mm/]yyyy</t>
  </si>
  <si>
    <t>Target population by geographic location</t>
  </si>
  <si>
    <t>Direct observation/pre-survey information: What is the location of the household's residence?</t>
  </si>
  <si>
    <t>[list options relevant to context]</t>
  </si>
  <si>
    <r>
      <rPr>
        <b/>
        <sz val="10"/>
        <color theme="1"/>
        <rFont val="Calibri (Body)"/>
      </rPr>
      <t>Unit of measurement</t>
    </r>
    <r>
      <rPr>
        <sz val="10"/>
        <color theme="1"/>
        <rFont val="Calibri (Body)"/>
      </rPr>
      <t xml:space="preserve">: Household
</t>
    </r>
    <r>
      <rPr>
        <b/>
        <sz val="10"/>
        <color theme="1"/>
        <rFont val="Calibri (Body)"/>
      </rPr>
      <t>General comment</t>
    </r>
    <r>
      <rPr>
        <sz val="10"/>
        <color theme="1"/>
        <rFont val="Calibri (Body)"/>
      </rPr>
      <t xml:space="preserve">: The level of detail collected with respect to geographical location can vary: from GPS points (where data protection should be considered;, to administrative units (where demarcations needs to clearly be defined ; to area typologies (e.g. urban vs rural).  </t>
    </r>
  </si>
  <si>
    <t>Target population by ethnicity (context specific)</t>
  </si>
  <si>
    <t xml:space="preserve">What is [Name's] ethnicity? </t>
  </si>
  <si>
    <t>Target population by nationality (context specific)</t>
  </si>
  <si>
    <t xml:space="preserve">What is [Name's] nationality? </t>
  </si>
  <si>
    <t>Target population by religion (context specific)</t>
  </si>
  <si>
    <t xml:space="preserve">What is [Name's] religion? </t>
  </si>
  <si>
    <t>Target population by language (context specific)</t>
  </si>
  <si>
    <t xml:space="preserve">What is [Name's] mother tongue? </t>
  </si>
  <si>
    <t>A.1.8</t>
  </si>
  <si>
    <t>Target population above 15 years of age by literacy</t>
  </si>
  <si>
    <t xml:space="preserve">[For persons above 15 years of age] Can he/she write in any language? </t>
  </si>
  <si>
    <t>1. Yes
2. No
3. Don’t know</t>
  </si>
  <si>
    <r>
      <rPr>
        <b/>
        <sz val="10"/>
        <color theme="1"/>
        <rFont val="Calibri (Body)"/>
      </rPr>
      <t>Unit of measurement</t>
    </r>
    <r>
      <rPr>
        <sz val="10"/>
        <color theme="1"/>
        <rFont val="Calibri (Body)"/>
      </rPr>
      <t xml:space="preserve">: Individual
</t>
    </r>
    <r>
      <rPr>
        <b/>
        <sz val="10"/>
        <color theme="1"/>
        <rFont val="Calibri (Body)"/>
      </rPr>
      <t xml:space="preserve">SDG indicator: 4.6.1 (a) Metadata: https://unstats.un.org/sdgs/metadata/files/Metadata-04-06-01.pdf
This is an indicator measuring progress towards durable solutions.
</t>
    </r>
    <r>
      <rPr>
        <sz val="10"/>
        <color theme="1"/>
        <rFont val="Calibri (Body)"/>
      </rPr>
      <t xml:space="preserve">
</t>
    </r>
    <r>
      <rPr>
        <b/>
        <sz val="10"/>
        <color theme="1"/>
        <rFont val="Calibri (Body)"/>
      </rPr>
      <t>Concepts:</t>
    </r>
    <r>
      <rPr>
        <sz val="10"/>
        <color theme="1"/>
        <rFont val="Calibri (Body)"/>
      </rPr>
      <t xml:space="preserve"> Adult literacy rate refers to the percentage of persons aged 15 and above who can read and write; see: https://www.unicef.org/infobycountry/stats_popup5.html</t>
    </r>
  </si>
  <si>
    <t>Target population above 18 years of age by highest level of education achieved</t>
  </si>
  <si>
    <t xml:space="preserve">[For persons above 18 years of age] What is the total number of years in formal education that you have completed? </t>
  </si>
  <si>
    <t>insert number of years</t>
  </si>
  <si>
    <r>
      <rPr>
        <b/>
        <sz val="10"/>
        <color theme="1"/>
        <rFont val="Calibri (Body)"/>
      </rPr>
      <t>Unit of measurement</t>
    </r>
    <r>
      <rPr>
        <sz val="10"/>
        <color theme="1"/>
        <rFont val="Calibri (Body)"/>
      </rPr>
      <t xml:space="preserve">: Individual
</t>
    </r>
    <r>
      <rPr>
        <b/>
        <sz val="10"/>
        <color theme="1"/>
        <rFont val="Calibri (Body)"/>
      </rPr>
      <t xml:space="preserve">SDG indicator: 4.1.2 Metadata: https://unstats.un.org/sdgs/metadata/files/Metadata-04-01-02.pdf
</t>
    </r>
    <r>
      <rPr>
        <sz val="10"/>
        <color theme="1"/>
        <rFont val="Calibri (Body)"/>
      </rPr>
      <t xml:space="preserve">
</t>
    </r>
    <r>
      <rPr>
        <b/>
        <sz val="10"/>
        <color theme="1"/>
        <rFont val="Calibri (Body)"/>
      </rPr>
      <t>This is an indicator measuring progress towards durable solutions.</t>
    </r>
    <r>
      <rPr>
        <sz val="10"/>
        <color theme="1"/>
        <rFont val="Calibri (Body)"/>
      </rPr>
      <t xml:space="preserve">
</t>
    </r>
    <r>
      <rPr>
        <b/>
        <sz val="10"/>
        <color theme="1"/>
        <rFont val="Calibri (Body)"/>
      </rPr>
      <t>General comment:</t>
    </r>
    <r>
      <rPr>
        <sz val="10"/>
        <color theme="1"/>
        <rFont val="Calibri (Body)"/>
      </rPr>
      <t xml:space="preserve"> Refer to most recent census or survey by the National Statistics in country to adjust the list of education levels. If diverse systems are relevant for the target group(s), data on on total years of attendance in formal school can be collected instead of  education levels. </t>
    </r>
  </si>
  <si>
    <t>Target population with disabilities</t>
  </si>
  <si>
    <t xml:space="preserve">For  at  least  the  past  six  months,  to  what  extent  have  you  been  limited  because  of  a  disability in activities people usually do? 
</t>
  </si>
  <si>
    <t>Would you say you have been ... 
1. Severely limited 
2. Limited but not severely 
3. Not limited at all 
4. Don't know 
5. Refusal</t>
  </si>
  <si>
    <r>
      <rPr>
        <b/>
        <sz val="10"/>
        <color theme="1"/>
        <rFont val="Calibri (Body)"/>
      </rPr>
      <t>Unit of measurement</t>
    </r>
    <r>
      <rPr>
        <sz val="10"/>
        <color theme="1"/>
        <rFont val="Calibri (Body)"/>
      </rPr>
      <t>: Individual</t>
    </r>
  </si>
  <si>
    <t>Target population by sex of household-head</t>
  </si>
  <si>
    <t>Elicit from A.1.1 or ask at the households level, for the sex of the head.</t>
  </si>
  <si>
    <r>
      <rPr>
        <b/>
        <sz val="10"/>
        <color theme="1"/>
        <rFont val="Calibri (Body)"/>
      </rPr>
      <t>Unit of measurement</t>
    </r>
    <r>
      <rPr>
        <sz val="10"/>
        <color theme="1"/>
        <rFont val="Calibri (Body)"/>
      </rPr>
      <t xml:space="preserve">: Household
</t>
    </r>
  </si>
  <si>
    <t>Target population by age of household-head</t>
  </si>
  <si>
    <t>Elicit from A.1.2 or ask at the household level for the age of the head.</t>
  </si>
  <si>
    <r>
      <rPr>
        <b/>
        <sz val="10"/>
        <color theme="1"/>
        <rFont val="Calibri (Body)"/>
      </rPr>
      <t>Unit of measurement</t>
    </r>
    <r>
      <rPr>
        <sz val="10"/>
        <color theme="1"/>
        <rFont val="Calibri (Body)"/>
      </rPr>
      <t>: Household</t>
    </r>
  </si>
  <si>
    <t>A.1.13</t>
  </si>
  <si>
    <t>Target population by age-dependency ratio</t>
  </si>
  <si>
    <t>Elicit from A.1.2: You need the age of all household members to calculate the age dependency.</t>
  </si>
  <si>
    <r>
      <rPr>
        <b/>
        <sz val="10"/>
        <color theme="1"/>
        <rFont val="Calibri (Body)"/>
      </rPr>
      <t xml:space="preserve">Unit of measurement: </t>
    </r>
    <r>
      <rPr>
        <sz val="10"/>
        <color theme="1"/>
        <rFont val="Calibri (Body)"/>
      </rPr>
      <t xml:space="preserve">Household
</t>
    </r>
    <r>
      <rPr>
        <b/>
        <sz val="10"/>
        <color theme="1"/>
        <rFont val="Calibri (Body)"/>
      </rPr>
      <t xml:space="preserve">
Concepts:</t>
    </r>
    <r>
      <rPr>
        <sz val="10"/>
        <color theme="1"/>
        <rFont val="Calibri (Body)"/>
      </rPr>
      <t xml:space="preserve"> Age dependency ratio is the ratio of dependents--people younger than 15 or older than 64--to the working-age population--those ages 15-64. Data are shown as the proportion of dependents per 100 working-age population. Source: World Bank</t>
    </r>
  </si>
  <si>
    <t>A.1.14</t>
  </si>
  <si>
    <t>Target population by average household size</t>
  </si>
  <si>
    <t xml:space="preserve">Elicit from total number of household members by household as listed in the questionnaire Roster, or ask directly about the total number of members of the household. It is important to have a clear definition of  what constitutes a household, as relevant in the context. </t>
  </si>
  <si>
    <r>
      <rPr>
        <b/>
        <sz val="10"/>
        <color theme="1"/>
        <rFont val="Calibri (Body)"/>
      </rPr>
      <t xml:space="preserve">Unit of measurement: </t>
    </r>
    <r>
      <rPr>
        <sz val="10"/>
        <color theme="1"/>
        <rFont val="Calibri (Body)"/>
      </rPr>
      <t xml:space="preserve">household
</t>
    </r>
    <r>
      <rPr>
        <b/>
        <sz val="10"/>
        <color theme="1"/>
        <rFont val="Calibri (Body)"/>
      </rPr>
      <t xml:space="preserve">
Concepts:</t>
    </r>
    <r>
      <rPr>
        <sz val="10"/>
        <color theme="1"/>
        <rFont val="Calibri (Body)"/>
      </rPr>
      <t xml:space="preserve"> The concept of household is based on the arrangements made by persons, individually or in groups, for providing themselves with food or other essentials for living. A household may be either (i) a one-person household, that is to say, a person who makes provision for his or her own food or other essentials for living without combining with any other person to form part of a multi-person household or (ii) a multi-person household, that is to say, a group of two or more persons living together who make common provision for food or other essentials for living. The persons in the group may pool their incomes and may, to a greater or lesser extent, have a common budget; they may be related or unrelated persons or constitute a combination of persons both related and unrelated. A household may be located in a housing unit or in a set of collective living quarters such as a boarding house, a hotel or a camp, or may comprise the administrative personnel in an institution. The household may also be homeless. Source: Principles and Recommendations for Population and Housing Censuses, Revision 1. United Nations, New York, 1998, Series M, No. 67, Rev. 1, paras. 2.61-2.62.</t>
    </r>
  </si>
  <si>
    <t>A.2 Displacement and migration history</t>
  </si>
  <si>
    <t>Target population by date of initial displacement</t>
  </si>
  <si>
    <t>When did  [Name] leave his/her place of origin? [if more displacements, refer to the first one or specify as relevant to context]</t>
  </si>
  <si>
    <t>mm/yyyy</t>
  </si>
  <si>
    <r>
      <rPr>
        <b/>
        <sz val="10"/>
        <color theme="1"/>
        <rFont val="Calibri (Body)"/>
      </rPr>
      <t>Unit of measurement</t>
    </r>
    <r>
      <rPr>
        <sz val="10"/>
        <color theme="1"/>
        <rFont val="Calibri (Body)"/>
      </rPr>
      <t xml:space="preserve">: Individual
</t>
    </r>
  </si>
  <si>
    <t>Target population by initial place of settlement</t>
  </si>
  <si>
    <t>Where did [Name] live before displacement? [if more displacements, refer to the first one or specify as relevant to context]
OR
Where is the place of origin of [Name]?</t>
  </si>
  <si>
    <t>[list locations relevant to context]</t>
  </si>
  <si>
    <t>Target population by main cause(s) of displacement</t>
  </si>
  <si>
    <t xml:space="preserve">What are the main 2 reasons for [Name] leaving the place he'/she used to live in before displacement/the place of origin? </t>
  </si>
  <si>
    <t>1. Armed conflict in or near area of origin 
2. Fear of forced conscription by armed forces 
3. Death/injury/disappearance of family member(s) 
4. Expulsion by government forces 
5. Expulsion by non-government forces 
6. House damaged or destroyed 
7. House/land occupied without consent 
8. Presence of landmines or UXO's 
9. Natural disaster (to be specified by context: cyclone, floods, earthquake, drought, etc) 
10. No schools available 
11. No health services available 
12. Immediate family is elsewhere 
13. No humanitarian assistance available 
14. No work available
15. No access to arable land/water/food
16. Because of marriage or divorce
17. To be close to family members/friends
18. Other</t>
  </si>
  <si>
    <r>
      <rPr>
        <b/>
        <sz val="10"/>
        <color theme="1"/>
        <rFont val="Calibri (Body)"/>
      </rPr>
      <t>Unit of measurement</t>
    </r>
    <r>
      <rPr>
        <sz val="10"/>
        <color theme="1"/>
        <rFont val="Calibri (Body)"/>
      </rPr>
      <t xml:space="preserve">: Individual
</t>
    </r>
    <r>
      <rPr>
        <b/>
        <sz val="10"/>
        <color theme="1"/>
        <rFont val="Calibri (Body)"/>
      </rPr>
      <t>General comment</t>
    </r>
    <r>
      <rPr>
        <sz val="10"/>
        <color theme="1"/>
        <rFont val="Calibri (Body)"/>
      </rPr>
      <t xml:space="preserve">: It is recommend to ask for two main causes of  displacement in order to capture the complexity of displacement and migratory moves (e.g. forced displacement reasons can be interlinked with economic and other reasons). Categorisation of respondent (at household or individual level) can then be done if answers include answering options 1-9. </t>
    </r>
  </si>
  <si>
    <t>Target populations by number of moves after initial place of settlement</t>
  </si>
  <si>
    <t xml:space="preserve">Did [Name]/your household come directly to this place? 
1. Yes
2. No 
[If [Name]/household did not come directly to this place] How many times has your household moved and lived elsewhere since your [first] displacement?
</t>
  </si>
  <si>
    <r>
      <rPr>
        <b/>
        <sz val="10"/>
        <color theme="1"/>
        <rFont val="Calibri (Body)"/>
      </rPr>
      <t>Unit of measurement</t>
    </r>
    <r>
      <rPr>
        <sz val="10"/>
        <color theme="1"/>
        <rFont val="Calibri (Body)"/>
      </rPr>
      <t xml:space="preserve">: Individual/household
</t>
    </r>
    <r>
      <rPr>
        <b/>
        <sz val="10"/>
        <color theme="1"/>
        <rFont val="Calibri (Body)"/>
      </rPr>
      <t>General comment:</t>
    </r>
    <r>
      <rPr>
        <sz val="10"/>
        <color theme="1"/>
        <rFont val="Calibri (Body)"/>
      </rPr>
      <t xml:space="preserve"> The displacement history can be captured: i. either by asking about all moves since first displacement and the reason for each move, or ii. by asking about the number of moves in total since the first displacement and the reason for the most recent move. </t>
    </r>
  </si>
  <si>
    <t>Target population by main reason to move after initial place of settlement</t>
  </si>
  <si>
    <t>What is the main reason for each move made since the initial displacement/ or the most recent move?</t>
  </si>
  <si>
    <t>1. Employment: household member got a job/started a business here, or came here looking for work/no work in previous location
2. Educational reasons: to  begin school here/ finished school in previous location
3. Health reasons: access to medical services
4. Marital reasons: household member got married or divorced 
5. Proximity to family/friends: joined relatives/friends here
6. Proximity to place of origin here
7. Cost of living/rent  in previous housing/area was too high
8. Security: Area in previous dwelling was too dangerous/ more safety here
9. Evicted from previous dwelling (by formal/informal armed forces; landlord; municipality or local government)
10. Other areas were blocked/borders were closed
11. Bigger/better home here
12. Lack of food in previous location
13. Availability of humanitarian assistance here
14. Other (specify)</t>
  </si>
  <si>
    <r>
      <rPr>
        <b/>
        <sz val="10"/>
        <color theme="1"/>
        <rFont val="Calibri (Body)"/>
      </rPr>
      <t>Unit of measurement</t>
    </r>
    <r>
      <rPr>
        <sz val="10"/>
        <color theme="1"/>
        <rFont val="Calibri (Body)"/>
      </rPr>
      <t>: Individual/household</t>
    </r>
  </si>
  <si>
    <t>Target population by main reason to choose current place of settlement</t>
  </si>
  <si>
    <t>What is the main reason [or main 2 reasons] for [Name]/your household to come to live in this particular place?</t>
  </si>
  <si>
    <t>Target population by average time spent in current location</t>
  </si>
  <si>
    <t>When did [Name]/your household arrive to this location?</t>
  </si>
  <si>
    <t>A.3 Discrimination</t>
  </si>
  <si>
    <t xml:space="preserve">Target population reporting having personally felt discriminated against or harassed in the previous 12 months on the basis of a ground of discrimination prohibited under international human rights law </t>
  </si>
  <si>
    <t>In the past 12 months, have you personally felt discriminated against or harassed on the basis of the following grounds?
[Posed to a random member of the household]
1. Ethnic or immigration origin? (yes/no/don't know)
2. Gender? (yes/no/don't know)
3. Displacement status?  (yes/no/don't know)
4. Sexual orientation? (yes/no/don't know)
5. Age? (yes/no/don't know)
6. Religion or belief? (yes/no/don't know)
7. Disability? (yes/no/don't know)
8. For any other reason?  (yes/no/don't know)</t>
  </si>
  <si>
    <r>
      <rPr>
        <b/>
        <sz val="10"/>
        <color theme="1"/>
        <rFont val="Calibri (Body)"/>
      </rPr>
      <t>Unit of measurement</t>
    </r>
    <r>
      <rPr>
        <sz val="10"/>
        <color theme="1"/>
        <rFont val="Calibri (Body)"/>
      </rPr>
      <t xml:space="preserve">: Individual
</t>
    </r>
    <r>
      <rPr>
        <b/>
        <sz val="10"/>
        <color theme="1"/>
        <rFont val="Calibri (Body)"/>
      </rPr>
      <t>SDG indicator: 10.3.1 and 16.b.1. Metadata: https://unstats.un.org/sdgs/metadata/files/Metadata-10-03-01.pdf 
https://unstats.un.org/sdgs/metadata/files/Metadata-16-0b-01.pdf</t>
    </r>
    <r>
      <rPr>
        <sz val="10"/>
        <color theme="1"/>
        <rFont val="Calibri (Body)"/>
      </rPr>
      <t xml:space="preserve">
</t>
    </r>
    <r>
      <rPr>
        <b/>
        <sz val="10"/>
        <color theme="1"/>
        <rFont val="Calibri (Body)"/>
      </rPr>
      <t xml:space="preserve">This is an indicator measuring progress towards durable solutions.
</t>
    </r>
    <r>
      <rPr>
        <sz val="10"/>
        <color theme="1"/>
        <rFont val="Calibri (Body)"/>
      </rPr>
      <t xml:space="preserve">
</t>
    </r>
    <r>
      <rPr>
        <b/>
        <sz val="10"/>
        <color theme="1"/>
        <rFont val="Calibri (Body)"/>
      </rPr>
      <t>General comment</t>
    </r>
    <r>
      <rPr>
        <sz val="10"/>
        <color theme="1"/>
        <rFont val="Calibri (Body)"/>
      </rPr>
      <t>: 
Given that this indicator is collected at the individual level, it can be asked directly to the interview respondent (whether that is only one member or more in the household).
Consider complementing this indicator with data on experiences of discrimination across the criteria, e.g. when discrimination is chosen as reason for not accessing services.</t>
    </r>
  </si>
  <si>
    <t>A.3.1.2</t>
  </si>
  <si>
    <t>To what extend do you feel that people treat you with respect?
[Posed to a random member of the household]</t>
  </si>
  <si>
    <t>1. Not at all
2. Slightly 
3. Somewhat  
4. Moderately  
5. A great deal</t>
  </si>
  <si>
    <t>A.3.2.1</t>
  </si>
  <si>
    <t>Target population reporting having personally felt discriminated against or harassed in the previous 12 months on the basis of their displacement status</t>
  </si>
  <si>
    <t>In the past 12 months, have you personally felt discriminated against or harassed on the basis of the following grounds? 
[Posed to a random member of the household]
1. Ethnic or immigration origin? (yes/no/don't know)
2. Gender? (yes/no/don't know)
3. Displacement status?  (yes/no/don't know)
4. Sexual orientation? (yes/no/don't know)
5. Age? (yes/no/don't know)
6. Religion or belief? (yes/no/don't know)
7. Disability? (yes/no/don't know)
8. For any other reason?  (yes/no/don't know)</t>
  </si>
  <si>
    <r>
      <rPr>
        <b/>
        <sz val="10"/>
        <color theme="1"/>
        <rFont val="Calibri (Body)"/>
      </rPr>
      <t>Unit of measurement</t>
    </r>
    <r>
      <rPr>
        <sz val="10"/>
        <color theme="1"/>
        <rFont val="Calibri (Body)"/>
      </rPr>
      <t xml:space="preserve">: Individual
</t>
    </r>
    <r>
      <rPr>
        <b/>
        <sz val="10"/>
        <color theme="1"/>
        <rFont val="Calibri (Body)"/>
      </rPr>
      <t>This is an indicator measuring progress towards durable solutions.</t>
    </r>
    <r>
      <rPr>
        <sz val="10"/>
        <color theme="1"/>
        <rFont val="Calibri (Body)"/>
      </rPr>
      <t xml:space="preserve">
</t>
    </r>
    <r>
      <rPr>
        <b/>
        <sz val="10"/>
        <color theme="1"/>
        <rFont val="Calibri (Body)"/>
      </rPr>
      <t>General comment</t>
    </r>
    <r>
      <rPr>
        <sz val="10"/>
        <color theme="1"/>
        <rFont val="Calibri (Body)"/>
      </rPr>
      <t>: 
Given that this indicator is collected at the individual level, it can be asked directly to the interview respondent (whether that is only one member or more in the household).
Consider complementing this indicator with data on experiences of discrimination across the criteria, e.g. when discrimination is chosen as reason for not accessing services.</t>
    </r>
  </si>
  <si>
    <t>A.3.2.2</t>
  </si>
  <si>
    <t>B. Future preferences &amp; plans</t>
  </si>
  <si>
    <t>B.1 Preferred place of settlement regardless of conditions</t>
  </si>
  <si>
    <t>Target population by preferred location of future settlement (current location, elsewhere in the country, or place of origin) regardless of conditions</t>
  </si>
  <si>
    <r>
      <rPr>
        <b/>
        <sz val="10"/>
        <color theme="1"/>
        <rFont val="Calibri (Body)"/>
      </rPr>
      <t>Unit of measurement:</t>
    </r>
    <r>
      <rPr>
        <sz val="10"/>
        <color theme="1"/>
        <rFont val="Calibri (Body)"/>
      </rPr>
      <t xml:space="preserve"> Household or individual
</t>
    </r>
  </si>
  <si>
    <t>Target population who feel free to pursue their preferred option</t>
  </si>
  <si>
    <t xml:space="preserve">Do you/  your household have the resources required to pursue this preferred move [within the coming x months]?
[Posed to a random member of the household or the household as unit]
</t>
  </si>
  <si>
    <r>
      <rPr>
        <b/>
        <sz val="10"/>
        <color theme="1"/>
        <rFont val="Calibri (Body)"/>
      </rPr>
      <t>Unit of measurement:</t>
    </r>
    <r>
      <rPr>
        <sz val="10"/>
        <color theme="1"/>
        <rFont val="Calibri (Body)"/>
      </rPr>
      <t xml:space="preserve"> Household or individual
This is an indicator measuring progress towards durable solutions.</t>
    </r>
  </si>
  <si>
    <t>Target population by main obstacle(s) to pursue their preferred option</t>
  </si>
  <si>
    <t>[If not able to pursue the preferred move] What is the main reason for you/ your household not being able to settle where you prefer?
[Posed to a random member of the household or the household as unit]</t>
  </si>
  <si>
    <r>
      <rPr>
        <b/>
        <sz val="10"/>
        <color theme="1"/>
        <rFont val="Calibri (Body)"/>
      </rPr>
      <t>Unit of measurement</t>
    </r>
    <r>
      <rPr>
        <sz val="10"/>
        <color theme="1"/>
        <rFont val="Calibri (Body)"/>
      </rPr>
      <t>: Household or individual</t>
    </r>
  </si>
  <si>
    <t>B.2 Conditions for future settlement options</t>
  </si>
  <si>
    <t>Target population, who would consider returning to place of habitual residence, by conditions needed for such return</t>
  </si>
  <si>
    <t>1. Yes
2. No
3. Don't know</t>
  </si>
  <si>
    <r>
      <rPr>
        <b/>
        <sz val="10"/>
        <color theme="1"/>
        <rFont val="Calibri (Body)"/>
      </rPr>
      <t>Unit of measurement</t>
    </r>
    <r>
      <rPr>
        <sz val="10"/>
        <color theme="1"/>
        <rFont val="Calibri (Body)"/>
      </rPr>
      <t xml:space="preserve">: Household or individual
</t>
    </r>
    <r>
      <rPr>
        <b/>
        <sz val="10"/>
        <color theme="1"/>
        <rFont val="Calibri (Body)"/>
      </rPr>
      <t xml:space="preserve">General comment:
</t>
    </r>
    <r>
      <rPr>
        <sz val="10"/>
        <color theme="1"/>
        <rFont val="Calibri (Body)"/>
      </rPr>
      <t xml:space="preserve">Depending on context, it can be specified if return to habitual place of residence refers to home, community or broader/administrative area. Accordingly the conditions will vary. </t>
    </r>
  </si>
  <si>
    <t>Target population, who would consider to remain in current place of residence, by main condition needed for staying</t>
  </si>
  <si>
    <t>1. Yes
2. No
3. Dont know</t>
  </si>
  <si>
    <t>Target population, who would consider to settle elsewhere, by main condition needed for such settlement elsewhere</t>
  </si>
  <si>
    <t>B.3 Concrete plans for future place of settlement</t>
  </si>
  <si>
    <t>Target population with concrete plans for future place of settlement within the next 6-12 months</t>
  </si>
  <si>
    <r>
      <rPr>
        <b/>
        <sz val="10"/>
        <color theme="1"/>
        <rFont val="Calibri (Body)"/>
      </rPr>
      <t>Unit of measurement:</t>
    </r>
    <r>
      <rPr>
        <sz val="10"/>
        <color theme="1"/>
        <rFont val="Calibri (Body)"/>
      </rPr>
      <t xml:space="preserve"> Household or individual</t>
    </r>
  </si>
  <si>
    <t>Target population with concrete plans to return by main reason</t>
  </si>
  <si>
    <t>addressed by B.3.1 question set
will be repeated here</t>
  </si>
  <si>
    <t>Target population with concrete plans to remain in current location by main reason</t>
  </si>
  <si>
    <t>Target population with concrete plans to settle elsewhere by main reason</t>
  </si>
  <si>
    <t>B.4  Access to information</t>
  </si>
  <si>
    <t>Target population by main source of information used for planning future movement</t>
  </si>
  <si>
    <t>1. yes
2. no
3. don’t know</t>
  </si>
  <si>
    <t>1. Long-term safety, security and freedom of movement</t>
  </si>
  <si>
    <t>1.1 Threats to safety and security</t>
  </si>
  <si>
    <t>Target population who think it likely they will experience serious consequences due to armed conflicts and other situations of social instability or tension which are subject to international humanitarian law, human rights violations and national legislation</t>
  </si>
  <si>
    <t>Are any members of your household afraid of being injured due to [armed conflict and social instability - specify by context]?
Are you afraid that your dwelling will be damaged or destroyed due to [armed conflict and social instability- specify by context]?
Are you afraid that your households livelihood means/sources will be disrupted or destroyed due to [armed conflict and social instability - specify by context]?</t>
  </si>
  <si>
    <r>
      <rPr>
        <b/>
        <sz val="10"/>
        <color theme="1"/>
        <rFont val="Calibri (Body)"/>
      </rPr>
      <t>Unit of measurement:</t>
    </r>
    <r>
      <rPr>
        <sz val="10"/>
        <color theme="1"/>
        <rFont val="Calibri (Body)"/>
      </rPr>
      <t xml:space="preserve"> Household
</t>
    </r>
    <r>
      <rPr>
        <b/>
        <sz val="10"/>
        <color theme="1"/>
        <rFont val="Calibri (Body)"/>
      </rPr>
      <t xml:space="preserve">This is an indicator measuring progress towards durable solutions.
</t>
    </r>
    <r>
      <rPr>
        <sz val="10"/>
        <color theme="1"/>
        <rFont val="Calibri (Body)"/>
      </rPr>
      <t xml:space="preserve">
</t>
    </r>
    <r>
      <rPr>
        <b/>
        <sz val="10"/>
        <color theme="1"/>
        <rFont val="Calibri (Body)"/>
      </rPr>
      <t xml:space="preserve">Concepts: 
</t>
    </r>
    <r>
      <rPr>
        <sz val="10"/>
        <color theme="1"/>
        <rFont val="Calibri (Body)"/>
      </rPr>
      <t xml:space="preserve">'Serious consequence' is to be understood as loss of life, serious injury, significant loss of property or disruption of livelihood means.
</t>
    </r>
  </si>
  <si>
    <t>1.1.2</t>
  </si>
  <si>
    <t>Target population who think it likely they will experience serious consequences due to a hazard</t>
  </si>
  <si>
    <t xml:space="preserve">Are any members of your households afraid of being injured or become ill due to natural or man-made disasters [or specify hazard by context]? [If the respondent does not understand, explain: 'Disasters can be related to the weather, like drought or storms, or it can be things like earthquakes, land slides wild fires or leakages of toxic waste from a factory']. 
Are you afraid that your households dwelling will be damaged or destroyed due to natural or man-made disasters [or specify hazard by context]? (Explain meaning of disasters by offering examples) 
Are you afraid that your households livelihood means/sources will be disrupted or destroyed due to natural or man-made disasters [or specify hazard by context]? (Explain meaning of disasters by offering examples) </t>
  </si>
  <si>
    <t>1. yes
2. no
3.don't know</t>
  </si>
  <si>
    <r>
      <rPr>
        <b/>
        <sz val="10"/>
        <color theme="1"/>
        <rFont val="Calibri (Body)"/>
      </rPr>
      <t xml:space="preserve">Unit of measurement: </t>
    </r>
    <r>
      <rPr>
        <sz val="10"/>
        <color theme="1"/>
        <rFont val="Calibri (Body)"/>
      </rPr>
      <t>Household</t>
    </r>
    <r>
      <rPr>
        <b/>
        <sz val="10"/>
        <color theme="1"/>
        <rFont val="Calibri (Body)"/>
      </rPr>
      <t xml:space="preserve">
This is an indicator measuring progress towards durable solutions.
Concepts: </t>
    </r>
    <r>
      <rPr>
        <sz val="10"/>
        <color theme="1"/>
        <rFont val="Calibri (Body)"/>
      </rPr>
      <t xml:space="preserve">
Serious consequence includes injury, illness or other health effects; evacuation, displacement, relocation; or direct damage to livelihoods, 
economic, physical, social, cultural and environmental assets. For more see indicators of persons directly affected by disasters: </t>
    </r>
    <r>
      <rPr>
        <i/>
        <sz val="10"/>
        <color theme="1"/>
        <rFont val="Calibri (Body)"/>
      </rPr>
      <t>Technical Guidance for Monitoring  and Reporting on Progress in Achieving the Global Targets of the Sendai Framework for Disaster Risk Reduction; Target B. https://www.preventionweb.net/files/54970_techguidancefdigitalhr.pdf</t>
    </r>
    <r>
      <rPr>
        <sz val="10"/>
        <color theme="1"/>
        <rFont val="Calibri (Body)"/>
      </rPr>
      <t xml:space="preserve">
Hazard is defined by UNISDR as "A process, phenomenon or human activity that may cause loss of life, injury or other health impacts, property damage, social and economic disruption or environmental degradation." See more: https://www.undrr.org/terminology</t>
    </r>
  </si>
  <si>
    <t>Target population who think it likely they will experience serious consequences due to hazard by main type of hazard</t>
  </si>
  <si>
    <t>[if yes to any of the above - 1.1.2] What are the likely causes of the expected/feared injuries or illness/ destruction or damage of housing/ disruption or destruction of livelihood means?  [list only relevant answering options]</t>
  </si>
  <si>
    <t>1. Avalanche (snow avalanche, snow slide)
2. Cold Wave (extreme weather, extreme temperature, cold temperatures)
3. Cyclone (hurricane, tropical storm, tropical depression, typhoon)
4. Drought (deficiency of precipitation, desertification, pronounced absence of rainfall)
5. Earthquake (seismic, tectonic)
6. Epidemic &amp; Pandemic (epidemic: bubonic plague, cholera, dengue, non-pandemic diseases, typhoid; pandemic: H1N1, HIV, smallpox, tuberculosis)
7. Flood (inundation; includes: flash floods)
8. Heat Wave (extreme weather, extreme temperature, high temperatures)
9. Insect Infestation (locust, plague, African bees)
10. Land Slide (debris flow, mud flow, mud slide, rock fall, slide, lahar, rock slide and topple)
11. NBC - Nuclear, Biological, Chemical (biohazard risk, chemical contamination, nuclear radiation risk)
12. Sand storm
13. Storm Surge (coastal flood, wave surge, wind setup)
14. Technical Disaster (chemical spill/leak, explosions, collapses, gas leaks, urban fire, oil spill, technical failure)
15. Tornado (waterspout, twister, vortex)
16. Tsunami
17. Volcano (crater, lava, magma, molten materials, pyroclastic flows, volcanic rock, volcanic ash)
18. Wild Fire (bush fire, forest fire, uncontrolled fire, wildland fir)</t>
  </si>
  <si>
    <r>
      <rPr>
        <b/>
        <sz val="10"/>
        <color theme="1"/>
        <rFont val="Calibri (Body)"/>
      </rPr>
      <t>Unit of measurement</t>
    </r>
    <r>
      <rPr>
        <sz val="10"/>
        <color theme="1"/>
        <rFont val="Calibri (Body)"/>
      </rPr>
      <t xml:space="preserve">: Household
</t>
    </r>
    <r>
      <rPr>
        <b/>
        <sz val="10"/>
        <color theme="1"/>
        <rFont val="Calibri (Body)"/>
      </rPr>
      <t>This is an indicator measuring progress towards durable solutions.</t>
    </r>
    <r>
      <rPr>
        <sz val="10"/>
        <color theme="1"/>
        <rFont val="Calibri (Body)"/>
      </rPr>
      <t xml:space="preserve">
</t>
    </r>
    <r>
      <rPr>
        <b/>
        <sz val="10"/>
        <color theme="1"/>
        <rFont val="Calibri (Body)"/>
      </rPr>
      <t>Concepts:
Hazard types:</t>
    </r>
    <r>
      <rPr>
        <sz val="10"/>
        <color theme="1"/>
        <rFont val="Calibri (Body)"/>
      </rPr>
      <t xml:space="preserve"> Hazards may be natural, anthropogenic or socionatural in origin. Natural hazards are predominantly associated with natural processes and phenomena. Anthropogenic hazards, or human-induced hazards, are induced entirely or predominantly by human activities and choices. This term does not include the occurrence or risk of armed conflicts and other situations of social instability or tension which are subject to international humanitarian law and national legislation. Several hazards are socionatural, in that they are associated with a combination of natural and anthropogenic factors, including environmental degradation and climate change.
Hazards may be single, sequential or combined in their origin and effects. Each hazard is characterized by its location, intensity or magnitude, frequency and probability. Biological hazards are also defined by their infectiousness or toxicity, or other characteristics of the pathogen such as dose-response, incubation period, case fatality rate and estimation of the pathogen for transmission.
Multi-hazard means (1) the selection of multiple major hazards that the country faces, and (2) the specific contexts where hazardous events may occur simultaneously, cascadingly or cumulatively over time, and taking into account the potential interrelated effects.
Hazards include (as mentioned in the Sendai Framework for Disaster Risk Reduction 2015-2030, and listed in alphabetical order) biological, environmental, geological, hydrometeorological and technological processes and phenomena.
See more: https://www.undrr.org/terminology
</t>
    </r>
    <r>
      <rPr>
        <b/>
        <sz val="10"/>
        <color theme="1"/>
        <rFont val="Calibri (Body)"/>
      </rPr>
      <t>General comments:</t>
    </r>
    <r>
      <rPr>
        <sz val="10"/>
        <color theme="1"/>
        <rFont val="Calibri (Body)"/>
      </rPr>
      <t xml:space="preserve"> List of possible hazards, included in the answering options of the proposed question are taken from: https://www.preventionweb.net/english/hazards/ 
Full hazard classification can be found here: 
https://www.preventionweb.net/files/54970_techguidancefdigitalhr.pdf
If relevant to context, this question can be posed by each of the 3 sub-questions of indicator 1.1.2.</t>
    </r>
  </si>
  <si>
    <t>Target population who feel safe walking alone around the area they live (during day or night)</t>
  </si>
  <si>
    <t xml:space="preserve">How safe do you feel walking alone in your area/ neighbourhood?
[Posed to a random member of the household or the household as unit]
</t>
  </si>
  <si>
    <t xml:space="preserve">1. Very safe
2. Fairly safe 
3. Bit unsafe
4. Very unsafe
5. I never walk alone after dark
6. Don’t know. </t>
  </si>
  <si>
    <r>
      <rPr>
        <b/>
        <sz val="10"/>
        <color theme="1"/>
        <rFont val="Calibri (Body)"/>
      </rPr>
      <t>Unit of measurement:</t>
    </r>
    <r>
      <rPr>
        <sz val="10"/>
        <color theme="1"/>
        <rFont val="Calibri (Body)"/>
      </rPr>
      <t xml:space="preserve"> Individual
</t>
    </r>
    <r>
      <rPr>
        <b/>
        <sz val="10"/>
        <color theme="1"/>
        <rFont val="Calibri (Body)"/>
      </rPr>
      <t xml:space="preserve">SDG indicator 16.1.4:  </t>
    </r>
    <r>
      <rPr>
        <sz val="10"/>
        <color theme="1"/>
        <rFont val="Calibri (Body)"/>
      </rPr>
      <t xml:space="preserve">Metadata available here: https://unstats.un.org/sdgs/metadata/files/Metadata-16-01-04.pdf
</t>
    </r>
    <r>
      <rPr>
        <b/>
        <sz val="10"/>
        <color theme="1"/>
        <rFont val="Calibri (Body)"/>
      </rPr>
      <t>This is an indicator measuring progress towards durable solutions.</t>
    </r>
    <r>
      <rPr>
        <sz val="10"/>
        <color theme="1"/>
        <rFont val="Calibri (Body)"/>
      </rPr>
      <t xml:space="preserve">
</t>
    </r>
    <r>
      <rPr>
        <b/>
        <sz val="10"/>
        <color theme="1"/>
        <rFont val="Calibri (Body)"/>
      </rPr>
      <t>General comments:</t>
    </r>
    <r>
      <rPr>
        <sz val="10"/>
        <color theme="1"/>
        <rFont val="Calibri (Body)"/>
      </rPr>
      <t xml:space="preserve"> 
This  is an indicator in the 2017 United Nations Survey of Crime Trends and Operations of Criminal Justice Systems (2017 UN-CTS), UNODC in charge of data collection. More info: https://www.unodc.org/unodc/en/data-and-analysis/statistics/crime/cts-data-collection.html
The proportion of population that feel safe is calculated by summing up the number of
respondents who feel “very safe” and “fairly safe” and dividing the total by the total number of respondents. See: https://unstats.un.org/sdgs/metadata/files/Metadata-16-01-04.pdf</t>
    </r>
  </si>
  <si>
    <t>1.2 Safety and security incidents</t>
  </si>
  <si>
    <t>Target population who were subjected to physical, psychological or sexual violence in the previous 12 months (or since time of displacement, if displaced for less than 12 months)</t>
  </si>
  <si>
    <t>Did you encounter any of the following security incidents in the past 12 months? 
1. Yes
2. No
3. Don’t want to answer
4. Don’t know
[Posed to a random member of the household]
[potential follow up question, if previous is asked at the household level] 
Which household member(s) was that? [more members can be indicated]</t>
  </si>
  <si>
    <t xml:space="preserve">1 Was verbally threatened.
2 Was verbally insulted, but not threatened
3 Was threatened with knife, gun or other type of weapon
4 Was attacked with knife, gun or other type of weapon
5 Was beaten/assaulted/kicked
6 Was strangled or burned
7 Was injured [or killed] in gun shootings [if responded on behalf of other HH members]
8 Was injured by a landmine/UXO
9 Was physically forced to have sexual intercourse
10 Was forced to perform other sexual acts the person did not want
11 Lost body parts
12 Was forced to labour
13 Was robbed
14 Was kidnapped/abducted
15 Was extorted for money or other goods
16 Damage inflicted on property/assets/livestock (Y/N)
17 Don’t know
18 Other
</t>
  </si>
  <si>
    <r>
      <rPr>
        <b/>
        <sz val="10"/>
        <color theme="1"/>
        <rFont val="Calibri (Body)"/>
      </rPr>
      <t>Unit of measurement:</t>
    </r>
    <r>
      <rPr>
        <sz val="10"/>
        <color theme="1"/>
        <rFont val="Calibri (Body)"/>
      </rPr>
      <t xml:space="preserve"> Individual
</t>
    </r>
    <r>
      <rPr>
        <b/>
        <sz val="10"/>
        <color theme="1"/>
        <rFont val="Calibri (Body)"/>
      </rPr>
      <t xml:space="preserve">SDG indicator 16.1.3: </t>
    </r>
    <r>
      <rPr>
        <sz val="10"/>
        <color theme="1"/>
        <rFont val="Calibri (Body)"/>
      </rPr>
      <t xml:space="preserve">Metadata available here: https://unstats.un.org/sdgs/metadata/files/Metadata-16-01-03.pdf 
</t>
    </r>
    <r>
      <rPr>
        <b/>
        <sz val="10"/>
        <color theme="1"/>
        <rFont val="Calibri (Body)"/>
      </rPr>
      <t>This is an indicator measuring progress towards durable solutions.</t>
    </r>
    <r>
      <rPr>
        <sz val="10"/>
        <color theme="1"/>
        <rFont val="Calibri (Body)"/>
      </rPr>
      <t xml:space="preserve">
</t>
    </r>
    <r>
      <rPr>
        <b/>
        <sz val="10"/>
        <color theme="1"/>
        <rFont val="Calibri (Body)"/>
      </rPr>
      <t>Concepts:</t>
    </r>
    <r>
      <rPr>
        <sz val="10"/>
        <color theme="1"/>
        <rFont val="Calibri (Body)"/>
      </rPr>
      <t xml:space="preserve"> 
</t>
    </r>
    <r>
      <rPr>
        <b/>
        <sz val="10"/>
        <color theme="1"/>
        <rFont val="Calibri (Body)"/>
      </rPr>
      <t>Physical violence:</t>
    </r>
    <r>
      <rPr>
        <sz val="10"/>
        <color theme="1"/>
        <rFont val="Calibri (Body)"/>
      </rPr>
      <t xml:space="preserve"> This concept is equivalent to the concept of physical assault, as defined in the International Classification of Crime for Statistical Purposes (ICCS): the intentional or reckless application of physical force inflicted upon the body of a person. This includes serious and minor bodily injuries and serious and minor physical force. 
</t>
    </r>
    <r>
      <rPr>
        <b/>
        <sz val="10"/>
        <color theme="1"/>
        <rFont val="Calibri (Body)"/>
      </rPr>
      <t>Sexual violence</t>
    </r>
    <r>
      <rPr>
        <sz val="10"/>
        <color theme="1"/>
        <rFont val="Calibri (Body)"/>
      </rPr>
      <t xml:space="preserve"> (ICCS): Unwanted sexual act, attempt to obtain a sexual act, or contact or communication with unwanted sexual attention without valid consent or with consent as a result of intimidation, force, fraud, coercion, threat, deception, use of drugs or alcohol, or abuse of power or of a position of vulnerability. This includes rape and other forms of sexual assault. 
</t>
    </r>
    <r>
      <rPr>
        <b/>
        <sz val="10"/>
        <color theme="1"/>
        <rFont val="Calibri (Body)"/>
      </rPr>
      <t>Psychological violence:</t>
    </r>
    <r>
      <rPr>
        <sz val="10"/>
        <color theme="1"/>
        <rFont val="Calibri (Body)"/>
      </rPr>
      <t xml:space="preserve"> There is as yet no consensus at the international level of the precise definition of psychological violence and there is as yet no generally well-established methodology to measure psychological violence. See more: https://unstats.un.org/sdgs/metadata/files/Metadata-16-01-03.pdf
</t>
    </r>
    <r>
      <rPr>
        <b/>
        <sz val="10"/>
        <color theme="1"/>
        <rFont val="Calibri (Body)"/>
      </rPr>
      <t xml:space="preserve">General comments: </t>
    </r>
    <r>
      <rPr>
        <sz val="10"/>
        <color theme="1"/>
        <rFont val="Calibri (Body)"/>
      </rPr>
      <t xml:space="preserve">
Due to no agreed upon definition of psychological violence the proposed question focuses on physical and sexual violence. 
The indicator refers to individual experiences and can be collected directly from and about the respondent or about the household members, with a follow up question on who these members are. </t>
    </r>
  </si>
  <si>
    <t>Target population who have experienced other types of  safety and security incidents in the previous 12 months (or since time of displacement, if displaced for less than 12 months)</t>
  </si>
  <si>
    <t>included in above- thus possible repetition of above question here</t>
  </si>
  <si>
    <r>
      <rPr>
        <b/>
        <sz val="10"/>
        <color theme="1"/>
        <rFont val="Calibri (Body)"/>
      </rPr>
      <t>Unit of measurement:</t>
    </r>
    <r>
      <rPr>
        <sz val="10"/>
        <color theme="1"/>
        <rFont val="Calibri (Body)"/>
      </rPr>
      <t xml:space="preserve"> Individual
</t>
    </r>
    <r>
      <rPr>
        <b/>
        <sz val="10"/>
        <color theme="1"/>
        <rFont val="Calibri (Body)"/>
      </rPr>
      <t>General comments:</t>
    </r>
    <r>
      <rPr>
        <sz val="10"/>
        <color theme="1"/>
        <rFont val="Calibri (Body)"/>
      </rPr>
      <t xml:space="preserve"> 
Other types of safety and security incidents are relevant to context and may include protection threats such as abductions, child recruitment, attacks on property (or on e.g. schools and hospitals)
</t>
    </r>
  </si>
  <si>
    <t>1.2.3</t>
  </si>
  <si>
    <t>Target population who were affected by hazard in the previous 12 months (or since time of displacement, if displaced for less than 12 months)</t>
  </si>
  <si>
    <t xml:space="preserve">Has any member of your household been injured or become ill within the previous 12 months/or since time of displacement due to [specify relevant hazards in the context]?
Has your households dwelling been damaged or destroyed within the previous 12 months/or since time of displacement due to [specify relevant hazards in the context]?
Has any of your households main income sources or means been disrupted/destroyed within the previous 12 months/or since time of displacement due to [specify relevant hazards in the context]?
</t>
  </si>
  <si>
    <r>
      <rPr>
        <b/>
        <sz val="10"/>
        <color theme="1"/>
        <rFont val="Calibri (Body)"/>
      </rPr>
      <t>Unit of measurement:</t>
    </r>
    <r>
      <rPr>
        <sz val="10"/>
        <color theme="1"/>
        <rFont val="Calibri (Body)"/>
      </rPr>
      <t xml:space="preserve"> Household
</t>
    </r>
    <r>
      <rPr>
        <b/>
        <sz val="10"/>
        <color theme="1"/>
        <rFont val="Calibri (Body)"/>
      </rPr>
      <t>This is an indicator measuring progress towards durable solutions.</t>
    </r>
    <r>
      <rPr>
        <sz val="10"/>
        <color theme="1"/>
        <rFont val="Calibri (Body)"/>
      </rPr>
      <t xml:space="preserve">
</t>
    </r>
    <r>
      <rPr>
        <b/>
        <sz val="10"/>
        <color theme="1"/>
        <rFont val="Calibri (Body)"/>
      </rPr>
      <t>Concepts:</t>
    </r>
    <r>
      <rPr>
        <sz val="10"/>
        <color theme="1"/>
        <rFont val="Calibri (Body)"/>
      </rPr>
      <t xml:space="preserve"> 
Hazard is defined by UNISDR as "A process, phenomenon or human activity that may cause loss of life, injury or other health impacts, property damage, social and economic disruption or environmental degradation." See more: https://www.undrr.org/terminology
People affected by hazard include those who have suffered injury, illness or other health effects; who 
were evacuated, displaced, relocated; or have suffered direct damage to their livelihoods, 
economic, physical, social, cultural and environmental assets. See: Technical Guidance for Monitoring  and Reporting on Progress in 
Achieving the Global Targets  of the Sendai Framework for Disaster Risk Reduction; Target B.https://www.preventionweb.net/files/54970_techguidancefdigitalhr.pdf</t>
    </r>
  </si>
  <si>
    <t>1.3.1</t>
  </si>
  <si>
    <t>1.3 Reporting of safety and security incidents</t>
  </si>
  <si>
    <t>Target population who experienced violence in the previous 12 months, who reported their victimisation to competent authorities or other officially recognized conflict resolution mechanism</t>
  </si>
  <si>
    <t xml:space="preserve">[For persons that  experienced safety and security incidents] Did you report the crime to the police or any formal or informal authorities?
[Posed to a random member of the household] </t>
  </si>
  <si>
    <r>
      <rPr>
        <b/>
        <sz val="10"/>
        <color theme="1"/>
        <rFont val="Calibri (Body)"/>
      </rPr>
      <t>Unit of measurement:</t>
    </r>
    <r>
      <rPr>
        <sz val="10"/>
        <color theme="1"/>
        <rFont val="Calibri (Body)"/>
      </rPr>
      <t xml:space="preserve"> Individual
</t>
    </r>
    <r>
      <rPr>
        <b/>
        <sz val="10"/>
        <color theme="1"/>
        <rFont val="Calibri (Body)"/>
      </rPr>
      <t xml:space="preserve">SDG indicator 16.3.1: </t>
    </r>
    <r>
      <rPr>
        <sz val="10"/>
        <color theme="1"/>
        <rFont val="Calibri (Body)"/>
      </rPr>
      <t xml:space="preserve">Metadata available here: https://unstats.un.org/sdgs/metadata/files/Metadata-16-03-01.pdf
</t>
    </r>
    <r>
      <rPr>
        <b/>
        <sz val="10"/>
        <color theme="1"/>
        <rFont val="Calibri (Body)"/>
      </rPr>
      <t>This is an indicator measuring progress towards durable solutions.</t>
    </r>
    <r>
      <rPr>
        <sz val="10"/>
        <color theme="1"/>
        <rFont val="Calibri (Body)"/>
      </rPr>
      <t xml:space="preserve">
</t>
    </r>
    <r>
      <rPr>
        <b/>
        <sz val="10"/>
        <color theme="1"/>
        <rFont val="Calibri (Body)"/>
      </rPr>
      <t>General comments:</t>
    </r>
    <r>
      <rPr>
        <sz val="10"/>
        <color theme="1"/>
        <rFont val="Calibri (Body)"/>
      </rPr>
      <t xml:space="preserve"> 
Safety and security incidents refer to experiences of physical, psychological and sexual violence (see definition of these concepts under relevant indicator).
Calculated from the number of victims of violence in the previous 12 months who reported their victimization to competent authorities or other officially recognized conflict resolution mechanisms, divided by the number of all victims of violence in the previous 12 months.
The indicator refers to individual experiences and can be collected directly from and about the respondent or about the household members, with a follow up question on who these members are.</t>
    </r>
  </si>
  <si>
    <t>1.3.2</t>
  </si>
  <si>
    <t>Target population who reported an incident of victimisation by institution/mechanism used (formal/informal/traditional)</t>
  </si>
  <si>
    <t xml:space="preserve">[For households that did report safety and security incident] Where did you report the incident?
</t>
  </si>
  <si>
    <t>1. Police
2. Army
3. Security forces
4. Militia group
5. Local government
6. Traditional or informal justice system [specify by context]
7. Community/ religious leader [specify by context]
8. Other
9. Prefer not to answer</t>
  </si>
  <si>
    <r>
      <rPr>
        <b/>
        <sz val="10"/>
        <color theme="1"/>
        <rFont val="Calibri (Body)"/>
      </rPr>
      <t xml:space="preserve">Unit of measurement: </t>
    </r>
    <r>
      <rPr>
        <sz val="10"/>
        <color theme="1"/>
        <rFont val="Calibri (Body)"/>
      </rPr>
      <t xml:space="preserve">Individual
</t>
    </r>
    <r>
      <rPr>
        <b/>
        <sz val="10"/>
        <color theme="1"/>
        <rFont val="Calibri (Body)"/>
      </rPr>
      <t>General comment:</t>
    </r>
    <r>
      <rPr>
        <sz val="10"/>
        <color theme="1"/>
        <rFont val="Calibri (Body)"/>
      </rPr>
      <t xml:space="preserve">
The indicator refers to individual experiences and can be collected directly from and about the respondent or about the household members, with a follow up question on who these members are.</t>
    </r>
  </si>
  <si>
    <t>1.3.3</t>
  </si>
  <si>
    <t>Target population who experienced a safety and security incident and did not report at all by main reason for not reporting</t>
  </si>
  <si>
    <t>[For persons  that experienced safety and security incidents and did not report this/these] Why did you chose not to report the incident? 
[Posed to a random member of the household or the household as unit]</t>
  </si>
  <si>
    <t>1. Too expensive 
2. Unreliable / do not trust police
3. Creates more problems 
4. They do not help 
5. No police station nearby 
6. Don't know 
7. Refuse to respond</t>
  </si>
  <si>
    <t>1.4.1</t>
  </si>
  <si>
    <t>1.4 Restrictions to freedom of movement</t>
  </si>
  <si>
    <t>Target population facing restrictions to their freedom of movement</t>
  </si>
  <si>
    <t xml:space="preserve">Can you/your household freely move around/ go wherever you want in your neighbourhood? 
Can you/your household freely move around in the whole city/administrative area?
Can you/your household freely move to/around in neighbouring areas/cities to where you live [specify by context]?
[Posed to a random person in the household or at the household level]
</t>
  </si>
  <si>
    <r>
      <rPr>
        <b/>
        <sz val="10"/>
        <color theme="1"/>
        <rFont val="Calibri (Body)"/>
      </rPr>
      <t xml:space="preserve">Unit of measurement: </t>
    </r>
    <r>
      <rPr>
        <sz val="10"/>
        <color theme="1"/>
        <rFont val="Calibri (Body)"/>
      </rPr>
      <t xml:space="preserve">Individual, household, and/or community
</t>
    </r>
    <r>
      <rPr>
        <b/>
        <sz val="10"/>
        <color theme="1"/>
        <rFont val="Calibri (Body)"/>
      </rPr>
      <t>This is an indicator measuring progress towards durable solutions.</t>
    </r>
    <r>
      <rPr>
        <sz val="10"/>
        <color theme="1"/>
        <rFont val="Calibri (Body)"/>
      </rPr>
      <t xml:space="preserve">
</t>
    </r>
    <r>
      <rPr>
        <b/>
        <sz val="10"/>
        <color theme="1"/>
        <rFont val="Calibri (Body)"/>
      </rPr>
      <t>Concepts:</t>
    </r>
    <r>
      <rPr>
        <sz val="10"/>
        <color theme="1"/>
        <rFont val="Calibri (Body)"/>
      </rPr>
      <t xml:space="preserve"> 
The International Covenant on Civil and Political Rights' Article 12 states that "Everyone lawfully within the territory of a State shall, within that territory, have the right to liberty of movement and freedom to choose his residence. Everyone shall be free to leave any country, including his own." The right to freedom of movement can be limited in accordance with international law. The grounds for limitations - public order, national security, public health and others - have been subject to guidance interpretation in the Siracusa Principles on the Limitation and Derogations of Provisions in the ICCPR.
</t>
    </r>
    <r>
      <rPr>
        <b/>
        <sz val="10"/>
        <color theme="1"/>
        <rFont val="Calibri (Body)"/>
      </rPr>
      <t>General comments:</t>
    </r>
    <r>
      <rPr>
        <sz val="10"/>
        <color theme="1"/>
        <rFont val="Calibri (Body)"/>
      </rPr>
      <t xml:space="preserve"> 
The proposed question is at the individual or the household level but can also be collected at the community level depending of context and nature of expected limitations of movement.</t>
    </r>
  </si>
  <si>
    <t>Target population facing restrictions to their freedom of movement by type/cause of restriction</t>
  </si>
  <si>
    <t>[if household/individual cannot move around freely] What is he most important reason for you/household members not being able to move freely?</t>
  </si>
  <si>
    <t>1. General restrictions for all IDPs by authorities
2. General restrictions for all IDPs by armed forces
3. Restrictions imposed by by local community
4. Presence of unexploded ordnance (UXO)
5. Conflict or threat of violence
6. Lack of documentation
7. Lack of transportation
8. Lack of money
9. Other
10. Prefer not to answer</t>
  </si>
  <si>
    <r>
      <rPr>
        <b/>
        <sz val="10"/>
        <color theme="1"/>
        <rFont val="Calibri (Body)"/>
      </rPr>
      <t xml:space="preserve">Unit of measurement: </t>
    </r>
    <r>
      <rPr>
        <sz val="10"/>
        <color theme="1"/>
        <rFont val="Calibri (Body)"/>
      </rPr>
      <t>Individual, household, and/or community</t>
    </r>
  </si>
  <si>
    <t>2.1.1</t>
  </si>
  <si>
    <t>2. Adequate standard of living</t>
  </si>
  <si>
    <t>2.1 Access to basic services (water, sanitation, health, education) &amp; good</t>
  </si>
  <si>
    <t xml:space="preserve">Target population with access to basic services / </t>
  </si>
  <si>
    <t>Composite indicator elicited from subsequent questions on access to water, sanitation, health and education</t>
  </si>
  <si>
    <r>
      <rPr>
        <b/>
        <sz val="10"/>
        <color theme="1"/>
        <rFont val="Calibri (Body)"/>
      </rPr>
      <t>Unit of measurement:</t>
    </r>
    <r>
      <rPr>
        <sz val="10"/>
        <color theme="1"/>
        <rFont val="Calibri (Body)"/>
      </rPr>
      <t xml:space="preserve"> Household
</t>
    </r>
    <r>
      <rPr>
        <b/>
        <sz val="10"/>
        <color theme="1"/>
        <rFont val="Calibri (Body)"/>
      </rPr>
      <t xml:space="preserve">SDG indicator 1.4.1 Metadata: https://unstats.un.org/sdgs/metadata/files/Metadata-01-04-01.pdf </t>
    </r>
    <r>
      <rPr>
        <sz val="10"/>
        <color theme="1"/>
        <rFont val="Calibri (Body)"/>
      </rPr>
      <t xml:space="preserve">
</t>
    </r>
    <r>
      <rPr>
        <b/>
        <sz val="10"/>
        <color theme="1"/>
        <rFont val="Calibri (Body)"/>
      </rPr>
      <t>This is an indicator measuring progress towards durable solutions.</t>
    </r>
    <r>
      <rPr>
        <sz val="10"/>
        <color theme="1"/>
        <rFont val="Calibri (Body)"/>
      </rPr>
      <t xml:space="preserve">
</t>
    </r>
    <r>
      <rPr>
        <b/>
        <sz val="10"/>
        <color theme="1"/>
        <rFont val="Calibri (Body)"/>
      </rPr>
      <t xml:space="preserve">General comments: 
</t>
    </r>
    <r>
      <rPr>
        <sz val="10"/>
        <color theme="1"/>
        <rFont val="Calibri (Body)"/>
      </rPr>
      <t xml:space="preserve">The type of services referred to as 'basic services' (pending the SDG metadata development) include: water, sanitation, health and education included in this Library. 
</t>
    </r>
  </si>
  <si>
    <t xml:space="preserve">Target population with access to basic drinking water services  </t>
  </si>
  <si>
    <t>What is the main source of drinking water used by members of your household?
[If unclear, probe to identify the place from which members of this household most often collect drinking water (collection point)]
[Unimproved water sources include: unprotected dug well, unprotected spring, cart with small tank/drum, tanker truck, and surface water (river, dam, lake, pond, stream, 
canal, irrigation channels), bottled water].</t>
  </si>
  <si>
    <t xml:space="preserve">1. Piped water 
2. Tube well/ borehole 
3. Dug well
4. Spring 
5. Rainwater 
6. Tanker truck 
7. Cart with small tank 
8. Water kiosk 
9. Surface water ( river, dam, lake, pond, stream, canal, irrigation channel) 
10. Packaged water 
11. Other </t>
  </si>
  <si>
    <r>
      <rPr>
        <b/>
        <sz val="10"/>
        <color theme="1"/>
        <rFont val="Calibri (Body)"/>
      </rPr>
      <t>Unit of measurement:</t>
    </r>
    <r>
      <rPr>
        <sz val="10"/>
        <color theme="1"/>
        <rFont val="Calibri (Body)"/>
      </rPr>
      <t xml:space="preserve"> Household, community
</t>
    </r>
    <r>
      <rPr>
        <b/>
        <sz val="10"/>
        <color theme="1"/>
        <rFont val="Calibri (Body)"/>
      </rPr>
      <t>This is an indicator measuring progress towards durable solutions.</t>
    </r>
    <r>
      <rPr>
        <sz val="10"/>
        <color theme="1"/>
        <rFont val="Calibri (Body)"/>
      </rPr>
      <t xml:space="preserve">
</t>
    </r>
    <r>
      <rPr>
        <b/>
        <sz val="10"/>
        <color theme="1"/>
        <rFont val="Calibri (Body)"/>
      </rPr>
      <t xml:space="preserve">Concepts: </t>
    </r>
    <r>
      <rPr>
        <sz val="10"/>
        <color theme="1"/>
        <rFont val="Calibri (Body)"/>
      </rPr>
      <t xml:space="preserve">
Access to basic drinking water include drinking water from an improved source, provided collection time is not more than 30 minutes for a roundtrip including queuing. Improved drinking water sources include the following: piped water into dwelling, yard or plot; public taps or standpipes; boreholes or tubewells; protected dug wells; protected springs; packaged water; delivered water and rainwater. See: https://washdata.org/monitoring/drinking-water
</t>
    </r>
    <r>
      <rPr>
        <b/>
        <sz val="10"/>
        <color theme="1"/>
        <rFont val="Calibri (Body)"/>
      </rPr>
      <t>Related SDG indicator 6.1.1, metadata: https://unstats.un.org/sdgs/metadata/files/Metadata-06-01-01.pdf</t>
    </r>
  </si>
  <si>
    <t>2.1.2.2</t>
  </si>
  <si>
    <t xml:space="preserve">In the last month, has there been any time when your household did not have sufficient quantities of drinking water? </t>
  </si>
  <si>
    <t xml:space="preserve">1. Yes, at least once
2. No, always sufficient
3. Don't know 
</t>
  </si>
  <si>
    <t>2.1.2.3</t>
  </si>
  <si>
    <t>Where is that water source located?</t>
  </si>
  <si>
    <t xml:space="preserve">1 In own dwelling 
2. In own yard/ plot
3. Within community (not in own dwelling or yard)
4. Elsewhere </t>
  </si>
  <si>
    <t xml:space="preserve"> [if water source is not in own dwelling or yard] How long does it take for members of your household to go there, get water, and come back?
[Access to basic drinking water services requires less than 30 minutes distance to get water]</t>
  </si>
  <si>
    <t>1. Member do not collect
2. Number of minutes: ______
3. Don’t know</t>
  </si>
  <si>
    <t>Target population with no access to basic drinking water services by main obstacle(s)</t>
  </si>
  <si>
    <t>[if unable to access water] What was the main reason that your household was unable to access water in sufficient quantities when needed?</t>
  </si>
  <si>
    <t xml:space="preserve">1. Water not available from source
2. Water not accessible due to being too expensive
3. Water not accessible due to conflict/violence
4. Water not accessible due to long waiting times
5. Water not accessible due to long distance
6. Water not accessible due to discrimination
7. Other
8. Don’t know </t>
  </si>
  <si>
    <r>
      <rPr>
        <b/>
        <sz val="10"/>
        <color theme="1"/>
        <rFont val="Calibri (Body)"/>
      </rPr>
      <t>Unit of measurement:</t>
    </r>
    <r>
      <rPr>
        <sz val="10"/>
        <color theme="1"/>
        <rFont val="Calibri (Body)"/>
      </rPr>
      <t xml:space="preserve"> Household, community
</t>
    </r>
    <r>
      <rPr>
        <b/>
        <sz val="10"/>
        <color theme="1"/>
        <rFont val="Calibri (Body)"/>
      </rPr>
      <t xml:space="preserve">Concepts: </t>
    </r>
    <r>
      <rPr>
        <sz val="10"/>
        <color theme="1"/>
        <rFont val="Calibri (Body)"/>
      </rPr>
      <t xml:space="preserve">
Access to basic drinking water include drinking water from an improved source, provided collection time is not more than 30 minutes for a roundtrip including queuing. Improved drinking water sources include the following: piped water into dwelling, yard or plot; public taps or standpipes; boreholes or tubewells; protected dug wells; protected springs; packaged water; delivered water and rainwater. See: https://washdata.org/monitoring/drinking-water</t>
    </r>
  </si>
  <si>
    <t>Target population with access to basic sanitation facilities, including a hand-washing facility on premises with soap and water</t>
  </si>
  <si>
    <t>What kind of toilet facility do members of your household usually use?
[Answering options 1- 7 indicate improved sanitation facilities; options 8-12 indicate unimproved facilities].</t>
  </si>
  <si>
    <t>1. Flush/ pour flush toilet to piped sewer system
3. Flush/ pour flush toilet to a septic system
4. Flush / pour-flush toilet to a pit latrine
5. Pit latrine with slab
6. Ventilated improved pit latrine
7. Composting toilet
8. Flush/pour flush to elsewhere (not into a pit, septic tank, or sewer)
9. Pit latrine without slab
10. Bucket latrines
11. Hanging toilet / latrine
12. No facilities / bush / field (open defecation)
13. Other</t>
  </si>
  <si>
    <r>
      <rPr>
        <b/>
        <sz val="10"/>
        <color theme="1"/>
        <rFont val="Calibri (Body)"/>
      </rPr>
      <t>Unit of measurement:</t>
    </r>
    <r>
      <rPr>
        <sz val="10"/>
        <color theme="1"/>
        <rFont val="Calibri (Body)"/>
      </rPr>
      <t xml:space="preserve"> Household
</t>
    </r>
    <r>
      <rPr>
        <b/>
        <sz val="10"/>
        <color theme="1"/>
        <rFont val="Calibri (Body)"/>
      </rPr>
      <t xml:space="preserve">This is an indicator measuring progress towards durable solutions.
</t>
    </r>
    <r>
      <rPr>
        <sz val="10"/>
        <color theme="1"/>
        <rFont val="Calibri (Body)"/>
      </rPr>
      <t xml:space="preserve">
</t>
    </r>
    <r>
      <rPr>
        <b/>
        <sz val="10"/>
        <color theme="1"/>
        <rFont val="Calibri (Body)"/>
      </rPr>
      <t>Concepts</t>
    </r>
    <r>
      <rPr>
        <sz val="10"/>
        <color theme="1"/>
        <rFont val="Calibri (Body)"/>
      </rPr>
      <t xml:space="preserve">:
Basic sanitation facilities include improved sanitation facilities which are not shared with other households. Improved sanitation facilities are those designed to hygienically separate excreta from human contact .If the excreta from improved sanitation facilities are not safely managed then people using those facilities will be classed as having a basic sanitation service (SDG 1.4). See: https://washdata.org/monitoring/sanitation
The presence of a handwashing facility with soap and water on premises has been identified as the priority indicator for global monitoring of hygiene. Households that have a handwashing facility with soap and water available on premises will meet the criteria for a basic hygiene facility. See: https://washdata.org/monitoring/hygiene
</t>
    </r>
    <r>
      <rPr>
        <b/>
        <sz val="10"/>
        <color theme="1"/>
        <rFont val="Calibri (Body)"/>
      </rPr>
      <t>Related SDG indicator 6.2.1  - metadata available here: https://unstats.un.org/sdgs/metadata/files/Metadata-06-02-01.pdf</t>
    </r>
  </si>
  <si>
    <t xml:space="preserve">Do you share this facility with others who are not members of your household?
[Basic sanitation required a private facility or shared by maximum two households] </t>
  </si>
  <si>
    <t xml:space="preserve">Where do you or other members of your household most often wash your hands?
</t>
  </si>
  <si>
    <t>1. Fixed facility (sink/tap) 
2. Mobile object (bucket, jug, kettle) 
3. No handwashing facility in dwelling/yard/plot 
4. Other</t>
  </si>
  <si>
    <t>2.1.4.4</t>
  </si>
  <si>
    <t xml:space="preserve">Do you have any soap or detergent or ash/mud/sand in your house for washing hands? 
</t>
  </si>
  <si>
    <t>1. Yes
2. No</t>
  </si>
  <si>
    <t>Target population with no access to basic sanitation facilities by main reason</t>
  </si>
  <si>
    <t xml:space="preserve">Why do you not have a toilet facility?
Why do you not have a hand washing facility? 
</t>
  </si>
  <si>
    <t>1. The current arrangement works fine
2. Cannot afford to get such facility
3. Do not know how to get such facility
4. Other reason</t>
  </si>
  <si>
    <r>
      <rPr>
        <b/>
        <sz val="10"/>
        <color theme="1"/>
        <rFont val="Calibri (Body)"/>
      </rPr>
      <t>Unit of measurement:</t>
    </r>
    <r>
      <rPr>
        <sz val="10"/>
        <color theme="1"/>
        <rFont val="Calibri (Body)"/>
      </rPr>
      <t xml:space="preserve"> Household
</t>
    </r>
    <r>
      <rPr>
        <b/>
        <sz val="10"/>
        <color theme="1"/>
        <rFont val="Calibri (Body)"/>
      </rPr>
      <t>This is an indicator measuring progress towards durable solutions.</t>
    </r>
    <r>
      <rPr>
        <sz val="10"/>
        <color theme="1"/>
        <rFont val="Calibri (Body)"/>
      </rPr>
      <t xml:space="preserve">
</t>
    </r>
    <r>
      <rPr>
        <b/>
        <sz val="10"/>
        <color theme="1"/>
        <rFont val="Calibri (Body)"/>
      </rPr>
      <t>Concepts</t>
    </r>
    <r>
      <rPr>
        <sz val="10"/>
        <color theme="1"/>
        <rFont val="Calibri (Body)"/>
      </rPr>
      <t>:
Basic sanitation facilities include improved sanitation facilities which are not shared with other households. Improved sanitation facilities are those designed to hygienically separate excreta from human contact .If the excreta from improved sanitation facilities are not safely managed then people using those facilities will be classed as having a basic sanitation service (SDG 1.4). See: https://washdata.org/monitoring/sanitation
The presence of a handwashing facility with soap and water on premises has been identified as the priority indicator for global monitoring of hygiene. Households that have a handwashing facility with soap and water available on premises will meet the criteria for a basic hygiene facility. See: https://washdata.org/monitoring/hygiene</t>
    </r>
  </si>
  <si>
    <t>2.1.6</t>
  </si>
  <si>
    <t>Target population covered by essential health services</t>
  </si>
  <si>
    <t>Composite indicator covered by subsequent questions on access to health services when in need, reproductive health and vaccinations</t>
  </si>
  <si>
    <r>
      <rPr>
        <b/>
        <sz val="10"/>
        <color theme="1"/>
        <rFont val="Calibri (Body)"/>
      </rPr>
      <t>Unit of measurement:</t>
    </r>
    <r>
      <rPr>
        <sz val="10"/>
        <color theme="1"/>
        <rFont val="Calibri (Body)"/>
      </rPr>
      <t xml:space="preserve"> Household
</t>
    </r>
    <r>
      <rPr>
        <b/>
        <sz val="10"/>
        <color theme="1"/>
        <rFont val="Calibri (Body)"/>
      </rPr>
      <t>SDG indicator 3.8.1</t>
    </r>
    <r>
      <rPr>
        <sz val="10"/>
        <color theme="1"/>
        <rFont val="Calibri (Body)"/>
      </rPr>
      <t xml:space="preserve"> Metadata: https://unstats.un.org/sdgs/metadata/files/Metadata-03-08-01.pdf. 
</t>
    </r>
    <r>
      <rPr>
        <b/>
        <sz val="10"/>
        <color theme="1"/>
        <rFont val="Calibri (Body)"/>
      </rPr>
      <t xml:space="preserve">This is an indicator measuring progress towards durable solutions.
</t>
    </r>
    <r>
      <rPr>
        <sz val="10"/>
        <color theme="1"/>
        <rFont val="Calibri (Body)"/>
      </rPr>
      <t xml:space="preserve">
</t>
    </r>
    <r>
      <rPr>
        <b/>
        <sz val="10"/>
        <color theme="1"/>
        <rFont val="Calibri (Body)"/>
      </rPr>
      <t>Concepts:</t>
    </r>
    <r>
      <rPr>
        <sz val="10"/>
        <color theme="1"/>
        <rFont val="Calibri (Body)"/>
      </rPr>
      <t xml:space="preserve"> 
Essential health services include reproductive, maternal, newborn and child health, infectious diseases, non-communicable diseases and service capacity and access. See SDG 3.8.1
</t>
    </r>
    <r>
      <rPr>
        <b/>
        <sz val="10"/>
        <color theme="1"/>
        <rFont val="Calibri (Body)"/>
      </rPr>
      <t>General comment:</t>
    </r>
    <r>
      <rPr>
        <sz val="10"/>
        <color theme="1"/>
        <rFont val="Calibri (Body)"/>
      </rPr>
      <t xml:space="preserve"> 
In absence of the SDG metadata, the library addresses this indicator by including following indicators: access to health services when in need,  access to reproductive health  and immunisation. Availability and capacity of health services (also included in this indicator) need to be collected at the macro level. </t>
    </r>
  </si>
  <si>
    <t>Target population who accessed essential health care services (including mental health care) the last time they needed it in the past 6-12 months</t>
  </si>
  <si>
    <t xml:space="preserve">Have you or anyone in your household had the need to visit a doctor the past x months? 
[if yes] Did you or the other family member that needed to see a doctor, visit a health care facility? I’m thinking of all kinds of to medical personnel or health facilities. </t>
  </si>
  <si>
    <t>1. Yes, formal medical care facility
2. Yes, informal/traditional medical care facility [if relevant to context]
2. No
3. Dont know</t>
  </si>
  <si>
    <r>
      <rPr>
        <b/>
        <sz val="10"/>
        <color theme="1"/>
        <rFont val="Calibri (Body)"/>
      </rPr>
      <t>Unit of measurement:</t>
    </r>
    <r>
      <rPr>
        <sz val="10"/>
        <color theme="1"/>
        <rFont val="Calibri (Body)"/>
      </rPr>
      <t xml:space="preserve"> Household
</t>
    </r>
    <r>
      <rPr>
        <b/>
        <sz val="10"/>
        <color theme="1"/>
        <rFont val="Calibri (Body)"/>
      </rPr>
      <t>This is an indicator measuring progress towards durable solutions.</t>
    </r>
  </si>
  <si>
    <t>Target population who did not access health care services (including mental health care) the last time they needed it in the past 6-12 months when needed by main reason</t>
  </si>
  <si>
    <t>[if you/other household member did not access health care when in need] What is the reason for not accessing health care services when in need?</t>
  </si>
  <si>
    <t>1. No relevant health care service available
2. Would not be able to cover the costs 
3. Transportation too expensive
4. No/bad transportation options
5. It is not safe to go there
6. Expect low quality service/ no qualified personnel
7. Shortage of medical equipment
8. Overcrowded facilities
9. Treated poorly or made uncomfortable by service providers /discrimination 
10. Treated poorly or made uncomfortable by other users of the service/discrimination
11. No female doctor/healthcare provider available
12. Didn't know where to go
13. No insurance - if relevant to context
14. Refused service by health care providers (due to lack of required documents)
15. Refused service by health care providers for other reason
16. Other</t>
  </si>
  <si>
    <r>
      <rPr>
        <b/>
        <sz val="10"/>
        <color theme="1"/>
        <rFont val="Calibri (Body)"/>
      </rPr>
      <t>Unit of measurement:</t>
    </r>
    <r>
      <rPr>
        <sz val="10"/>
        <color theme="1"/>
        <rFont val="Calibri (Body)"/>
      </rPr>
      <t xml:space="preserve"> Household
</t>
    </r>
    <r>
      <rPr>
        <b/>
        <sz val="12"/>
        <color theme="1"/>
        <rFont val="Calibri"/>
        <family val="2"/>
        <scheme val="minor"/>
      </rPr>
      <t/>
    </r>
  </si>
  <si>
    <t>2.1.9.1</t>
  </si>
  <si>
    <t>Births within target population attended by skilled health personnel within the past 12 months (% of total births taken place within the past 12 months)</t>
  </si>
  <si>
    <t xml:space="preserve">[For women] Have you given birth to any children the last 12 months/since arrival to current location? 
</t>
  </si>
  <si>
    <r>
      <rPr>
        <b/>
        <sz val="10"/>
        <color theme="1"/>
        <rFont val="Calibri (Body)"/>
      </rPr>
      <t xml:space="preserve">Unit of measurement: </t>
    </r>
    <r>
      <rPr>
        <sz val="10"/>
        <color theme="1"/>
        <rFont val="Calibri (Body)"/>
      </rPr>
      <t xml:space="preserve">Individual
</t>
    </r>
    <r>
      <rPr>
        <b/>
        <sz val="10"/>
        <color theme="1"/>
        <rFont val="Calibri (Body)"/>
      </rPr>
      <t>SDG indicator 3.1.2:</t>
    </r>
    <r>
      <rPr>
        <sz val="10"/>
        <color theme="1"/>
        <rFont val="Calibri (Body)"/>
      </rPr>
      <t xml:space="preserve"> Recall period has been specified in this Library to 12 months or since time of arrival to current location.</t>
    </r>
    <r>
      <rPr>
        <b/>
        <sz val="10"/>
        <color theme="1"/>
        <rFont val="Calibri (Body)"/>
      </rPr>
      <t xml:space="preserve"> </t>
    </r>
    <r>
      <rPr>
        <sz val="10"/>
        <color theme="1"/>
        <rFont val="Calibri (Body)"/>
      </rPr>
      <t xml:space="preserve">Metadata for the SDG is available here: https://unstats.un.org/sdgs/metadata/files/Metadata-03-01-02.pdf
</t>
    </r>
    <r>
      <rPr>
        <b/>
        <sz val="10"/>
        <color theme="1"/>
        <rFont val="Calibri (Body)"/>
      </rPr>
      <t>This is an indicator measuring progress towards durable solutions.</t>
    </r>
    <r>
      <rPr>
        <sz val="10"/>
        <color theme="1"/>
        <rFont val="Calibri (Body)"/>
      </rPr>
      <t xml:space="preserve">
</t>
    </r>
    <r>
      <rPr>
        <b/>
        <sz val="10"/>
        <color theme="1"/>
        <rFont val="Calibri (Body)"/>
      </rPr>
      <t>Concepts:</t>
    </r>
    <r>
      <rPr>
        <sz val="10"/>
        <color theme="1"/>
        <rFont val="Calibri (Body)"/>
      </rPr>
      <t xml:space="preserve"> An accredited health professional such as a midwife, doctor or nurse, who has been educated and trained to proficiency in the skills needed to manage normal (uncomplicated) pregnancies, childbirth and the immediate postnatal period, and in the identification, management and referral of complications in women and newborns. Traditional birth attendants, trained or not, are excluded from the category of skilled attendant at delivery. Source: World Health Organization, Indicator Code Book.</t>
    </r>
  </si>
  <si>
    <t>2.1.9.2</t>
  </si>
  <si>
    <t>[if given birth] Who assisted with the delivery? 
[Probe for the types or person(s) and record all mentioned. If respondent says no one assisted, probe to determine whether any adults were present at the delivery].</t>
  </si>
  <si>
    <t>1. Doctor
2. Nurse/midwife
3. Auxiliary midwife
4. Traditional birth attendant
5. Relative/friend
6. Other
7. No one assisted</t>
  </si>
  <si>
    <t>2.1.10</t>
  </si>
  <si>
    <t xml:space="preserve">Target population covered by all vaccines included in their national programme </t>
  </si>
  <si>
    <t>Does anyone in the household have a card/document where the child [Name]’s birth date and/or vaccinations are written?
Is the child [Name] vaccinated for Measles? 
Is the child [Name] vaccinated for [specify the types of vaccines asked for based on national programme]?</t>
  </si>
  <si>
    <r>
      <rPr>
        <b/>
        <sz val="10"/>
        <color theme="1"/>
        <rFont val="Calibri (Body)"/>
      </rPr>
      <t>Unit of measurement:</t>
    </r>
    <r>
      <rPr>
        <sz val="10"/>
        <color theme="1"/>
        <rFont val="Calibri (Body)"/>
      </rPr>
      <t xml:space="preserve"> Individual
</t>
    </r>
    <r>
      <rPr>
        <b/>
        <sz val="10"/>
        <color theme="1"/>
        <rFont val="Calibri (Body)"/>
      </rPr>
      <t>SDG indicator 3.b.1:</t>
    </r>
    <r>
      <rPr>
        <sz val="10"/>
        <color theme="1"/>
        <rFont val="Calibri (Body)"/>
      </rPr>
      <t xml:space="preserve"> https://unstats.un.org/sdgs/metadata/files/Metadata-03-0b-01.pdf
</t>
    </r>
    <r>
      <rPr>
        <b/>
        <sz val="10"/>
        <color theme="1"/>
        <rFont val="Calibri (Body)"/>
      </rPr>
      <t>This is an indicator measuring progress towards durable solutions.</t>
    </r>
  </si>
  <si>
    <t>Primary school net attendance ratio in target population (% of children of primary school age in target population)</t>
  </si>
  <si>
    <t xml:space="preserve">[For the age group corresponding to primary schooling] Does [Name] currently attend school? 
During this current school year, which level and grade or year is [Name] attending?
</t>
  </si>
  <si>
    <t>1. Yes, more than 4 days per week
2. Yes, less than 4 days per week
3. No
1. Primary
2. Lower secondary
3. Upper secondary
4. Higher
5. Dont know</t>
  </si>
  <si>
    <r>
      <rPr>
        <b/>
        <sz val="10"/>
        <color theme="1"/>
        <rFont val="Calibri (Body)"/>
      </rPr>
      <t>Unit of measurement:</t>
    </r>
    <r>
      <rPr>
        <sz val="10"/>
        <color theme="1"/>
        <rFont val="Calibri (Body)"/>
      </rPr>
      <t xml:space="preserve"> Individual
</t>
    </r>
    <r>
      <rPr>
        <b/>
        <sz val="10"/>
        <color theme="1"/>
        <rFont val="Calibri (Body)"/>
      </rPr>
      <t>This is an indicator measuring progress towards durable solutions.</t>
    </r>
    <r>
      <rPr>
        <sz val="10"/>
        <color theme="1"/>
        <rFont val="Calibri (Body)"/>
      </rPr>
      <t xml:space="preserve">
</t>
    </r>
    <r>
      <rPr>
        <b/>
        <sz val="10"/>
        <color theme="1"/>
        <rFont val="Calibri (Body)"/>
      </rPr>
      <t>Concepts:</t>
    </r>
    <r>
      <rPr>
        <sz val="10"/>
        <color theme="1"/>
        <rFont val="Calibri (Body)"/>
      </rPr>
      <t xml:space="preserve"> Primary school net attendance ratio is the percentage of children in the age group that officially corresponds to primary schooling who attend primary school. See: https://www.unicef.org/infobycountry/stats_popup5.html
</t>
    </r>
    <r>
      <rPr>
        <b/>
        <sz val="10"/>
        <color theme="1"/>
        <rFont val="Calibri (Body)"/>
      </rPr>
      <t>General comment:</t>
    </r>
    <r>
      <rPr>
        <sz val="10"/>
        <color theme="1"/>
        <rFont val="Calibri (Body)"/>
      </rPr>
      <t xml:space="preserve"> Depending on context it might be relevant to understand the provider of education services. If so, question needs to be added on this.</t>
    </r>
  </si>
  <si>
    <t>2.1.12</t>
  </si>
  <si>
    <t>Secondary school net attendance ratio in target population (% of children of secondary school age in target population)</t>
  </si>
  <si>
    <t>[For the age group corresponding to secondary schooling] Does [Name] currently attend school? 
1. Yes, more than 4 days per week
2. Yes, less than 4 days per week
3. No
During this current school year, which level and grade or year is [Name] attending?
1. Primary
2. Lower secondary
3. Upper secondary
4. Higher
5. Dont know</t>
  </si>
  <si>
    <r>
      <rPr>
        <b/>
        <sz val="10"/>
        <color theme="1"/>
        <rFont val="Calibri (Body)"/>
      </rPr>
      <t>Unit of measurement:</t>
    </r>
    <r>
      <rPr>
        <sz val="10"/>
        <color theme="1"/>
        <rFont val="Calibri (Body)"/>
      </rPr>
      <t xml:space="preserve"> Individual
</t>
    </r>
    <r>
      <rPr>
        <b/>
        <sz val="10"/>
        <color theme="1"/>
        <rFont val="Calibri (Body)"/>
      </rPr>
      <t>This is an indicator measuring progress towards durable solutions.</t>
    </r>
    <r>
      <rPr>
        <sz val="10"/>
        <color theme="1"/>
        <rFont val="Calibri (Body)"/>
      </rPr>
      <t xml:space="preserve">
</t>
    </r>
    <r>
      <rPr>
        <b/>
        <sz val="10"/>
        <color theme="1"/>
        <rFont val="Calibri (Body)"/>
      </rPr>
      <t xml:space="preserve">Concepts: </t>
    </r>
    <r>
      <rPr>
        <sz val="10"/>
        <color theme="1"/>
        <rFont val="Calibri (Body)"/>
      </rPr>
      <t>Percentage of children in the age group that officially corresponds to secondary schooling who attend secondary school. See: https://www.unicef.org/infobycountry/stats_popup5.html</t>
    </r>
  </si>
  <si>
    <t>Primary school-age target population not attending education according to main reason</t>
  </si>
  <si>
    <t xml:space="preserve">[if in primary schooling age and not attending school at all or regularly] Why is [Name] not attending school regularly or at all? 
</t>
  </si>
  <si>
    <t>1. Still too young
2. Finished school / too old to go to school / college
3. Language barrier
4. Illness / disability 
5. Pregnant
6. Works
7.  Takes care of home / younger siblings
8.  Will work on land / in home, No need to study
9.  Lack of financial resources
10.  Parents do not understand how to enroll
11. No documents to enroll in schools/college
12. The school nearby is poor quality
13. Absence of female teachers
14. Schools / colleges are full and not accepting new students
15. IDPs are not allowed to enroll/ Harassment or injustice in school
16. There are no schools / colleges nearby
17. The way to school / college is not safe because of conflict</t>
  </si>
  <si>
    <t xml:space="preserve">Target population who own a mobile phone / </t>
  </si>
  <si>
    <t>Does [Name] have a mobile telephone?
[Posed to random member of the household]</t>
  </si>
  <si>
    <t>1. yes
2. no</t>
  </si>
  <si>
    <r>
      <rPr>
        <b/>
        <sz val="10"/>
        <color theme="1"/>
        <rFont val="Calibri (Body)"/>
      </rPr>
      <t>Unit of measurement:</t>
    </r>
    <r>
      <rPr>
        <sz val="10"/>
        <color theme="1"/>
        <rFont val="Calibri (Body)"/>
      </rPr>
      <t xml:space="preserve"> Individual
</t>
    </r>
    <r>
      <rPr>
        <b/>
        <sz val="10"/>
        <color theme="1"/>
        <rFont val="Calibri (Body)"/>
      </rPr>
      <t>SDG indicator 5.b.1:</t>
    </r>
    <r>
      <rPr>
        <sz val="10"/>
        <color theme="1"/>
        <rFont val="Calibri (Body)"/>
      </rPr>
      <t xml:space="preserve"> Metadata available here: https://unstats.un.org/sdgs/metadata/files/Metadata-05-0B-01.pdf
</t>
    </r>
    <r>
      <rPr>
        <b/>
        <sz val="10"/>
        <color theme="1"/>
        <rFont val="Calibri (Body)"/>
      </rPr>
      <t>This is an indicator measuring progress towards durable solutions.</t>
    </r>
  </si>
  <si>
    <t>2.2. Food security</t>
  </si>
  <si>
    <t xml:space="preserve">Target population by prevalence of moderate or severe food insecurity[2]in the past year, based on the Food Insecurity Experience Scale (FIES) </t>
  </si>
  <si>
    <t>Now I would like to ask you some questions about your food consumption in the last 12 months. During the last 12 MONTHS, was there a time when:
1. You were worried you would run out of food because of a lack of money or other resources?
2. You were unable to eat healthy and nutritious food because of a lack of money or other resources? 
3. You ate only a few kinds of foods because of a lack of money or other resources?
4. You had to skip a meal because there was not enough money or other resources to get food?
5. You ate less than you thought you should because of a lack of money or other resources?
6. Your household ran out of food because of a lack of money or other resources?
7. You were hungry but did not eat because there was not enough money or other resources for food?
8. You went without eating for a whole day because of a lack of money or other resources?</t>
  </si>
  <si>
    <t xml:space="preserve">1. yes
2. no
3. Don’t know
4. Don’t want to answer
</t>
  </si>
  <si>
    <r>
      <rPr>
        <b/>
        <sz val="10"/>
        <color theme="1"/>
        <rFont val="Calibri (Body)"/>
      </rPr>
      <t>Unit of measurement:</t>
    </r>
    <r>
      <rPr>
        <sz val="10"/>
        <color theme="1"/>
        <rFont val="Calibri (Body)"/>
      </rPr>
      <t xml:space="preserve"> Household or individual
</t>
    </r>
    <r>
      <rPr>
        <b/>
        <sz val="10"/>
        <color theme="1"/>
        <rFont val="Calibri (Body)"/>
      </rPr>
      <t xml:space="preserve">SDG indicator 2.1.2: </t>
    </r>
    <r>
      <rPr>
        <sz val="10"/>
        <color theme="1"/>
        <rFont val="Calibri (Body)"/>
      </rPr>
      <t xml:space="preserve">Metadata available here: https://unstats.un.org/sdgs/metadata/files/Metadata-02-01-02.pdf
</t>
    </r>
    <r>
      <rPr>
        <b/>
        <sz val="10"/>
        <color theme="1"/>
        <rFont val="Calibri (Body)"/>
      </rPr>
      <t>This is an indicator measuring progress towards durable solutions.</t>
    </r>
    <r>
      <rPr>
        <sz val="10"/>
        <color theme="1"/>
        <rFont val="Calibri (Body)"/>
      </rPr>
      <t xml:space="preserve">
</t>
    </r>
    <r>
      <rPr>
        <b/>
        <sz val="10"/>
        <color theme="1"/>
        <rFont val="Calibri (Body)"/>
      </rPr>
      <t>General comments:</t>
    </r>
    <r>
      <rPr>
        <sz val="10"/>
        <color theme="1"/>
        <rFont val="Calibri (Body)"/>
      </rPr>
      <t xml:space="preserve"> 
This indicator is measured  based on the Food Insecurity Experience Scale (FIES), FAO. See: http://www.fao.org/fileadmin/templates/ess/voh/FIES_Technical_Paper_v1.1.pdf.</t>
    </r>
  </si>
  <si>
    <t>Target population who experienced moderate or severe food insecurity in the last year, by main obstacle to obtaining sufficient food</t>
  </si>
  <si>
    <t>Elicited from previous question</t>
  </si>
  <si>
    <t>Target population who experienced moderate or severe food insecurity in the last year, by main coping strategy</t>
  </si>
  <si>
    <t>I would now like to ask if there have been times in the last 30 days, when you did not have enough food or money to buy food. Specifically, how often has your household had to:
a. Rely on less preferred and less expensive foods?
b. Borrow food, or rely on help from a friend or relative?
c. Purchase food on credit?
d. Gather wild food, hunt, or harvest immature crops?
e. Consume seed stock held for next season?
f. Send household members to eat elsewhere?
g. Send household members to beg?
h. Limit portion size at mealtimes?
i. Restrict consumption of adults in order for small children to eat?
j. Feed working members of HH at the expense of non-working members
k. Ration the money you had and buy prepared food?
l. Reduce number of meals eaten in a day?
m. Skip entire days without eating?</t>
  </si>
  <si>
    <t>1. All the time? Every day
2. Pretty often? 3-6/week
3. Once in a while? 1-2/week
4. Hardly at all? &lt;1 / week
5. Never 0/week"</t>
  </si>
  <si>
    <r>
      <rPr>
        <b/>
        <sz val="10"/>
        <color theme="1"/>
        <rFont val="Calibri (Body)"/>
      </rPr>
      <t>Unit of measurement:</t>
    </r>
    <r>
      <rPr>
        <sz val="10"/>
        <color theme="1"/>
        <rFont val="Calibri (Body)"/>
      </rPr>
      <t xml:space="preserve"> Household
</t>
    </r>
    <r>
      <rPr>
        <b/>
        <sz val="10"/>
        <color theme="1"/>
        <rFont val="Calibri (Body)"/>
      </rPr>
      <t>This is an indicator measuring progress towards durable solutions.</t>
    </r>
    <r>
      <rPr>
        <sz val="10"/>
        <color theme="1"/>
        <rFont val="Calibri (Body)"/>
      </rPr>
      <t xml:space="preserve">
</t>
    </r>
    <r>
      <rPr>
        <b/>
        <sz val="10"/>
        <color theme="1"/>
        <rFont val="Calibri (Body)"/>
      </rPr>
      <t>General comments:</t>
    </r>
    <r>
      <rPr>
        <sz val="10"/>
        <color theme="1"/>
        <rFont val="Calibri (Body)"/>
      </rPr>
      <t xml:space="preserve"> 
See more on coping strategies index for food insecurity: http://www.fao.org/3/a-ae513e.pdf and http://www.fao.org/3/a-ae513e.pdf,  Consumption Coping Strategy Index (CSI) </t>
    </r>
  </si>
  <si>
    <t>2.3 Tenure security</t>
  </si>
  <si>
    <t>Target population by current housing type</t>
  </si>
  <si>
    <t>In which type of housing does your household live in?</t>
  </si>
  <si>
    <t>1. Camp 
2. Apartment
3. House
4. Informal settlement/ makeshift shelter
5. Social housing/ collective centres
6. Other</t>
  </si>
  <si>
    <r>
      <rPr>
        <b/>
        <sz val="10"/>
        <color theme="1"/>
        <rFont val="Calibri (Body)"/>
      </rPr>
      <t xml:space="preserve">Unit of measurement: </t>
    </r>
    <r>
      <rPr>
        <sz val="10"/>
        <color theme="1"/>
        <rFont val="Calibri (Body)"/>
      </rPr>
      <t xml:space="preserve">Household
</t>
    </r>
    <r>
      <rPr>
        <b/>
        <sz val="10"/>
        <color theme="1"/>
        <rFont val="Calibri (Body)"/>
      </rPr>
      <t>General comments</t>
    </r>
    <r>
      <rPr>
        <sz val="10"/>
        <color theme="1"/>
        <rFont val="Calibri (Body)"/>
      </rPr>
      <t>:
Housing types can include:  camp, settlement, house, apartment, collective centers and other</t>
    </r>
  </si>
  <si>
    <t>Target population by current housing tenure types</t>
  </si>
  <si>
    <t>What is the main tenure status of this dwelling?</t>
  </si>
  <si>
    <t>1. Owned 
2. Rented  
3. Housing provided as part of work 
4. Hosted with rent 
5. Hosted for free 
6. Provided dwelling for free
7. Occupied/squatted
8. Other</t>
  </si>
  <si>
    <r>
      <rPr>
        <b/>
        <sz val="10"/>
        <color theme="1"/>
        <rFont val="Calibri (Body)"/>
      </rPr>
      <t>Unit of measurement:</t>
    </r>
    <r>
      <rPr>
        <sz val="10"/>
        <color theme="1"/>
        <rFont val="Calibri (Body)"/>
      </rPr>
      <t xml:space="preserve"> Household
</t>
    </r>
    <r>
      <rPr>
        <b/>
        <sz val="10"/>
        <color theme="1"/>
        <rFont val="Calibri (Body)"/>
      </rPr>
      <t xml:space="preserve">General comments: 
</t>
    </r>
    <r>
      <rPr>
        <sz val="10"/>
        <color theme="1"/>
        <rFont val="Calibri (Body)"/>
      </rPr>
      <t>Tenure types can include public or private rental, collective arrangements, lease, emergency or transitional housing or informal settlements.</t>
    </r>
  </si>
  <si>
    <t>Proportion of total adult population with secure tenure rights to land, with legally recognized documentation and who perceive their rights to land as secure</t>
  </si>
  <si>
    <t>PERCEPTION OF TENURE
How likely are you to lose your land/other property or use right in the next 5 years?
1. Very likely
2. Somewhat likely
3. Not likely
[If “Very likely/ somewhat likely”] What is the source of the potential loss of land?
1. National government; 
2. Local authorities;
3. Non-government armed groups /militia forces
4. Commercial interests; 
5. Family members or other individuals
Do you have the right to exclusively or jointly bequeath your land/other property?
1. Yes, by my own/ individually;
2. Yes, jointly with others;
3. No</t>
  </si>
  <si>
    <r>
      <rPr>
        <b/>
        <sz val="10"/>
        <color theme="1"/>
        <rFont val="Calibri (Body)"/>
      </rPr>
      <t>Unit of measurement</t>
    </r>
    <r>
      <rPr>
        <sz val="10"/>
        <color theme="1"/>
        <rFont val="Calibri (Body)"/>
      </rPr>
      <t xml:space="preserve">: Household
</t>
    </r>
    <r>
      <rPr>
        <b/>
        <sz val="10"/>
        <color theme="1"/>
        <rFont val="Calibri (Body)"/>
      </rPr>
      <t>SDG indicator 1.4.2:</t>
    </r>
    <r>
      <rPr>
        <sz val="10"/>
        <color theme="1"/>
        <rFont val="Calibri (Body)"/>
      </rPr>
      <t xml:space="preserve"> Measures the relevant part of Target 1.4 (ensure men and women have equal rights to economic resources, as well as access to ..., ownership of and control over land and other forms of property, inheritance, natural resources). Metadata available here: https://unstats.un.org/sdgs/metadata/files/Metadata-01-04-02.pdf
</t>
    </r>
    <r>
      <rPr>
        <b/>
        <sz val="10"/>
        <color theme="1"/>
        <rFont val="Calibri (Body)"/>
      </rPr>
      <t>This is an indicator measuring progress towards durable solutions.</t>
    </r>
    <r>
      <rPr>
        <sz val="10"/>
        <color theme="1"/>
        <rFont val="Calibri (Body)"/>
      </rPr>
      <t xml:space="preserve">
</t>
    </r>
    <r>
      <rPr>
        <b/>
        <sz val="10"/>
        <color theme="1"/>
        <rFont val="Calibri (Body)"/>
      </rPr>
      <t>Concepts:</t>
    </r>
    <r>
      <rPr>
        <sz val="10"/>
        <color theme="1"/>
        <rFont val="Calibri (Body)"/>
      </rPr>
      <t xml:space="preserve"> 
Secure tenure rights are comprised of two sub
- components: (i) legally recognized documentation and (ii) perception of the security of tenure, which are both necessary to provide a full measurement of tenure security.
See:  https://unstats.un.org/sdgs/metadata/files/Metadata-01-04-02.pdf  
'Other property' may refer to livestock or other resources as relevant to context.</t>
    </r>
  </si>
  <si>
    <t>2.3.3.2</t>
  </si>
  <si>
    <t>LEGALLY RECOGNIZED DOCUMENTATION   
Do you have property/ tenure rights over this land or another property?
1. Yes
2. No
[if yes]  What type of rights?
[country specific coding – freehold, leasehold etc. - list by context]
Do you have documentation of the tenure/ property rights on this property and/ or another property?
1. yes, this property; 
2. yes, some properties
3. yes, all my properties; 
4. no documentation</t>
  </si>
  <si>
    <t>Target population having been forcibly evicted over the past 6-12 months</t>
  </si>
  <si>
    <r>
      <rPr>
        <b/>
        <sz val="10"/>
        <color theme="1"/>
        <rFont val="Calibri (Body)"/>
      </rPr>
      <t>Unit of measurement:</t>
    </r>
    <r>
      <rPr>
        <sz val="10"/>
        <color theme="1"/>
        <rFont val="Calibri (Body)"/>
      </rPr>
      <t xml:space="preserve"> Household
</t>
    </r>
    <r>
      <rPr>
        <b/>
        <sz val="10"/>
        <color theme="1"/>
        <rFont val="Calibri (Body)"/>
      </rPr>
      <t>This is an indicator measuring progress towards durable solutions.</t>
    </r>
    <r>
      <rPr>
        <sz val="10"/>
        <color theme="1"/>
        <rFont val="Calibri (Body)"/>
      </rPr>
      <t xml:space="preserve">
</t>
    </r>
    <r>
      <rPr>
        <b/>
        <sz val="10"/>
        <color theme="1"/>
        <rFont val="Calibri (Body)"/>
      </rPr>
      <t>Concepts:</t>
    </r>
    <r>
      <rPr>
        <sz val="10"/>
        <color theme="1"/>
        <rFont val="Calibri (Body)"/>
      </rPr>
      <t xml:space="preserve"> 
Forced eviction is "the permanent or temporary removal against their will of individuals, families and/or communities from the homes and/or land which they occupy, without the provision of, and access to, appropriate forms of legal or other protection" [Committee on Economic, Social and Cultural Rights, general comment No. 7 (1997)]. See www.ohchr.org/Documents/Publications/FS25.Rev.1.pdf</t>
    </r>
  </si>
  <si>
    <t>Target population forcibly evicted in last year by main reason for eviction</t>
  </si>
  <si>
    <r>
      <rPr>
        <b/>
        <sz val="10"/>
        <color theme="1"/>
        <rFont val="Calibri (Body)"/>
      </rPr>
      <t>Unit of measurement:</t>
    </r>
    <r>
      <rPr>
        <sz val="10"/>
        <color theme="1"/>
        <rFont val="Calibri (Body)"/>
      </rPr>
      <t xml:space="preserve"> Household
</t>
    </r>
    <r>
      <rPr>
        <b/>
        <sz val="10"/>
        <color theme="1"/>
        <rFont val="Calibri (Body)"/>
      </rPr>
      <t>Concepts:</t>
    </r>
    <r>
      <rPr>
        <sz val="10"/>
        <color theme="1"/>
        <rFont val="Calibri (Body)"/>
      </rPr>
      <t xml:space="preserve"> 
Forced eviction is "the permanent or temporary removal against their will of individuals, families and/or communities from the homes and/or land which they occupy, without the provision of, and access to, appropriate forms of legal or other protection" [Committee on Economic, Social and Cultural Rights, general comment No. 7 (1997)]. See www.ohchr.org/Documents/Publications/FS25.Rev.1.pdf</t>
    </r>
  </si>
  <si>
    <t>Target population, not being evicted in the past 6-12 months, but living in constant fear of eviction</t>
  </si>
  <si>
    <t xml:space="preserve">Do you fear that your household will be evicted within the next x months?
</t>
  </si>
  <si>
    <t xml:space="preserve">1. Yes, a lot
2. Yes, some
3. No, just a little
4. No, not at all 
</t>
  </si>
  <si>
    <r>
      <rPr>
        <b/>
        <sz val="10"/>
        <color theme="1"/>
        <rFont val="Calibri (Body)"/>
      </rPr>
      <t>Unit of measurement:</t>
    </r>
    <r>
      <rPr>
        <sz val="10"/>
        <color theme="1"/>
        <rFont val="Calibri (Body)"/>
      </rPr>
      <t xml:space="preserve"> Household
</t>
    </r>
    <r>
      <rPr>
        <b/>
        <sz val="10"/>
        <color theme="1"/>
        <rFont val="Calibri (Body)"/>
      </rPr>
      <t>This is an indicator measuring progress towards durable solutions.</t>
    </r>
    <r>
      <rPr>
        <sz val="10"/>
        <color theme="1"/>
        <rFont val="Calibri (Body)"/>
      </rPr>
      <t xml:space="preserve">
</t>
    </r>
    <r>
      <rPr>
        <b/>
        <sz val="10"/>
        <color theme="1"/>
        <rFont val="Calibri (Body)"/>
      </rPr>
      <t>General comments:</t>
    </r>
    <r>
      <rPr>
        <sz val="10"/>
        <color theme="1"/>
        <rFont val="Calibri (Body)"/>
      </rPr>
      <t xml:space="preserve"> 
Housing tenure security is analysed based on a combination of following library indicators: i. tenure arrangements, ii. experiences of eviction and iii. fear of eviction (present indicator). Present indicators could be further elaborated by also asking about what kind of eviction if feared - see 2.3.5.</t>
    </r>
  </si>
  <si>
    <t>2.4 Housing conditions</t>
  </si>
  <si>
    <t>Target population residing in sufficient living space</t>
  </si>
  <si>
    <t>How many rooms in total does this dwelling have (excluding bathroom, toilet and hall)?
[More than two persons per room indicates overcrowding]</t>
  </si>
  <si>
    <r>
      <rPr>
        <b/>
        <sz val="10"/>
        <color theme="1"/>
        <rFont val="Calibri (Body)"/>
      </rPr>
      <t xml:space="preserve">Unit of measurement: </t>
    </r>
    <r>
      <rPr>
        <sz val="10"/>
        <color theme="1"/>
        <rFont val="Calibri (Body)"/>
      </rPr>
      <t xml:space="preserve">Household
</t>
    </r>
    <r>
      <rPr>
        <b/>
        <sz val="10"/>
        <color theme="1"/>
        <rFont val="Calibri (Body)"/>
      </rPr>
      <t>This is an indicator measuring progress towards durable solutions.</t>
    </r>
    <r>
      <rPr>
        <sz val="10"/>
        <color theme="1"/>
        <rFont val="Calibri (Body)"/>
      </rPr>
      <t xml:space="preserve">
</t>
    </r>
    <r>
      <rPr>
        <b/>
        <sz val="10"/>
        <color theme="1"/>
        <rFont val="Calibri (Body)"/>
      </rPr>
      <t>Concepts:</t>
    </r>
    <r>
      <rPr>
        <sz val="10"/>
        <color theme="1"/>
        <rFont val="Calibri (Body)"/>
      </rPr>
      <t xml:space="preserve"> 
A dwelling unit provides sufficient living area for the household members if not more than three people share the same habitable room. Source: https://unstats.un.org/sdgs/metadata/files/Metadata-11-01-01.pdf 
</t>
    </r>
    <r>
      <rPr>
        <b/>
        <sz val="10"/>
        <color theme="1"/>
        <rFont val="Calibri (Body)"/>
      </rPr>
      <t xml:space="preserve">General comments:
</t>
    </r>
    <r>
      <rPr>
        <sz val="10"/>
        <color theme="1"/>
        <rFont val="Calibri (Body)"/>
      </rPr>
      <t xml:space="preserve">The number of members in the household need to be divided with the reported number of rooms. If there are more than three people occupying one room, the household is considered to have insufficient living space. This approach does not distinguish between children and adults. </t>
    </r>
  </si>
  <si>
    <t>2.4.2.1</t>
  </si>
  <si>
    <t>Target population residing in durable housing structures</t>
  </si>
  <si>
    <t>Observation: location of dwelling.
[Hazardous sites include:  geologically hazardous zones (landslide/earthquake and flood areas); housing on or under garbage mountains; housing around high industrial pollution areas; housing around other unprotected high risk zones (e.g. railroads, airports, energy transmission lines)].</t>
  </si>
  <si>
    <r>
      <rPr>
        <b/>
        <sz val="10"/>
        <color theme="1"/>
        <rFont val="Calibri (Body)"/>
      </rPr>
      <t>Unit of measurement:</t>
    </r>
    <r>
      <rPr>
        <sz val="10"/>
        <color theme="1"/>
        <rFont val="Calibri (Body)"/>
      </rPr>
      <t xml:space="preserve"> Household
</t>
    </r>
    <r>
      <rPr>
        <b/>
        <sz val="10"/>
        <color theme="1"/>
        <rFont val="Calibri (Body)"/>
      </rPr>
      <t>Feeds into SDG indicator 11.1.1:</t>
    </r>
    <r>
      <rPr>
        <sz val="10"/>
        <color theme="1"/>
        <rFont val="Calibri (Body)"/>
      </rPr>
      <t xml:space="preserve">Target urban population living in slums, informal settlements or inadequate housing. Metadata available here: https://unstats.un.org/sdgs/metadata/files/Metadata-11-01-01.pdf
</t>
    </r>
    <r>
      <rPr>
        <b/>
        <sz val="10"/>
        <color theme="1"/>
        <rFont val="Calibri (Body)"/>
      </rPr>
      <t>This is an indicator measuring progress towards durable solutions.</t>
    </r>
    <r>
      <rPr>
        <sz val="10"/>
        <color theme="1"/>
        <rFont val="Calibri (Body)"/>
      </rPr>
      <t xml:space="preserve">
</t>
    </r>
    <r>
      <rPr>
        <b/>
        <sz val="10"/>
        <color theme="1"/>
        <rFont val="Calibri (Body)"/>
      </rPr>
      <t xml:space="preserve">Concepts: </t>
    </r>
    <r>
      <rPr>
        <sz val="10"/>
        <color theme="1"/>
        <rFont val="Calibri (Body)"/>
      </rPr>
      <t xml:space="preserve"> 
A house is considered as durable if it is built on a non-hazardous location and has a permanent and adequate structure able to protect its inhabitants from the extremes of climatic conditions such as rain, heat, cold, and humidity. The following criteria are used to determine the structural quality/durability of dwellings: permanency of structure (permanent building material for the walls, roof and floor); compliance with building codes; the dwelling is not in a dilapidated state; the dwelling is not in need of major repair; and location of house (hazardous location: the dwelling is not located on or near toxic waste; the dwelling is not located in a flood plain; the dwelling is not located on a steep slope; the dwelling is not located in a dangerous right of way: rail , highway, airport, power lines). Source: https://unstats.un.org/sdgs/metadata/files/Metadata-11-01-01.pdf
</t>
    </r>
  </si>
  <si>
    <t>2.4.2.2</t>
  </si>
  <si>
    <t xml:space="preserve">What is the main construction material of the dwelling?
</t>
  </si>
  <si>
    <t>1. Fired brick/stone
2. Concrete
3. Wood
4. Mud bricks/mud
5. Other, specify</t>
  </si>
  <si>
    <t>2.4.3</t>
  </si>
  <si>
    <t>Target urban population living in slums, informal settlements or inadequate housing</t>
  </si>
  <si>
    <t>Calculated:  Not adequate if either of the following is lacking:
1. Lack of access to improved water source,
2. Lack of access to improved sanitation facilities,
3. Lack of sufficient living area,
4. Lack of housing durability and,
5. Lack of security of tenure. 
By extension, the term ‘slum dweller’ refers to a person living in a
household that lacks any of the above attributes.
For all 5 points see earlier indicators and questions.</t>
  </si>
  <si>
    <r>
      <rPr>
        <b/>
        <sz val="10"/>
        <color theme="1"/>
        <rFont val="Calibri (Body)"/>
      </rPr>
      <t>Unit of measurement</t>
    </r>
    <r>
      <rPr>
        <sz val="10"/>
        <color theme="1"/>
        <rFont val="Calibri (Body)"/>
      </rPr>
      <t xml:space="preserve">: Household
</t>
    </r>
    <r>
      <rPr>
        <b/>
        <sz val="10"/>
        <color theme="1"/>
        <rFont val="Calibri (Body)"/>
      </rPr>
      <t>SDG indicator 11.1.1:</t>
    </r>
    <r>
      <rPr>
        <sz val="10"/>
        <color theme="1"/>
        <rFont val="Calibri (Body)"/>
      </rPr>
      <t xml:space="preserve"> Metadata available here: https://unstats.un.org/sdgs/metadata/files/Metadata-11-01-01.pdf
</t>
    </r>
    <r>
      <rPr>
        <b/>
        <sz val="10"/>
        <color theme="1"/>
        <rFont val="Calibri (Body)"/>
      </rPr>
      <t>This is an indicator measuring progress towards durable solutions.</t>
    </r>
    <r>
      <rPr>
        <sz val="10"/>
        <color theme="1"/>
        <rFont val="Calibri (Body)"/>
      </rPr>
      <t xml:space="preserve">
</t>
    </r>
    <r>
      <rPr>
        <b/>
        <sz val="10"/>
        <color theme="1"/>
        <rFont val="Calibri (Body)"/>
      </rPr>
      <t>General comments:</t>
    </r>
    <r>
      <rPr>
        <sz val="10"/>
        <color theme="1"/>
        <rFont val="Calibri (Body)"/>
      </rPr>
      <t xml:space="preserve">
The indicator measures the proportion of households who do not meet one of the five following housing conditions: 1. access to improved water; 2. access to improved sanitation facilities; 3. sufficient living area (not overcrowded); 4. durable housing;  and 5. security of tenure. Source: SDG indicator 11.1.1 See more: https://unstats.un.org/sdgs/files/metadata-compilation/Metadata-Goal-11.pdf
All elements of this composite indicator are included in this library.</t>
    </r>
  </si>
  <si>
    <t>3. Access to livelihoods and employment</t>
  </si>
  <si>
    <t>3.1 Employment</t>
  </si>
  <si>
    <t>Target population employed in formal and informal sector (employment rate)</t>
  </si>
  <si>
    <t>What is [Name's] current work/occupation status?
[Employed population: options 1,2,3,5
Employment rate: employed divided by the labour force (i.e. working age population (15-64 years) who are working or looking for work: options: 1,2,3,5, 8, 9, 10, 11)]</t>
  </si>
  <si>
    <r>
      <rPr>
        <b/>
        <sz val="10"/>
        <color theme="1"/>
        <rFont val="Calibri (Body)"/>
      </rPr>
      <t>Unit of measurement:</t>
    </r>
    <r>
      <rPr>
        <sz val="10"/>
        <color theme="1"/>
        <rFont val="Calibri (Body)"/>
      </rPr>
      <t xml:space="preserve"> Individual
</t>
    </r>
    <r>
      <rPr>
        <b/>
        <sz val="10"/>
        <color theme="1"/>
        <rFont val="Calibri (Body)"/>
      </rPr>
      <t>This is an indicator measuring progress towards durable solutions.</t>
    </r>
    <r>
      <rPr>
        <sz val="10"/>
        <color theme="1"/>
        <rFont val="Calibri (Body)"/>
      </rPr>
      <t xml:space="preserve">
</t>
    </r>
    <r>
      <rPr>
        <b/>
        <sz val="10"/>
        <color theme="1"/>
        <rFont val="Calibri (Body)"/>
      </rPr>
      <t>Concepts:</t>
    </r>
    <r>
      <rPr>
        <sz val="10"/>
        <color theme="1"/>
        <rFont val="Calibri (Body)"/>
      </rPr>
      <t xml:space="preserve"> 
OECD defines the employment rate as "the ratio of the employed to the working age population," adding that "the working age population refers to people aged 15 to 64". See: data.oecd.org/emp/employment-rate.htm</t>
    </r>
  </si>
  <si>
    <t>3.1.2</t>
  </si>
  <si>
    <t>Employed and self-employed target population in informal employment in total employment (% of total employed target population)</t>
  </si>
  <si>
    <t>[If person is employer or self employed] Is [Name's] business registered?
[if person is employee] 
Is [Name] receiving pay slips? [adapt by context, in some places e.g. having a social security is an indicator of formal employment]</t>
  </si>
  <si>
    <r>
      <rPr>
        <b/>
        <sz val="10"/>
        <color theme="1"/>
        <rFont val="Calibri (Body)"/>
      </rPr>
      <t>Unit of measurement:</t>
    </r>
    <r>
      <rPr>
        <sz val="10"/>
        <color theme="1"/>
        <rFont val="Calibri (Body)"/>
      </rPr>
      <t xml:space="preserve"> Individual
</t>
    </r>
    <r>
      <rPr>
        <b/>
        <sz val="10"/>
        <color theme="1"/>
        <rFont val="Calibri (Body)"/>
      </rPr>
      <t>SDG indicator 8.3.1:</t>
    </r>
    <r>
      <rPr>
        <sz val="10"/>
        <color theme="1"/>
        <rFont val="Calibri (Body)"/>
      </rPr>
      <t xml:space="preserve"> Metadata available here: https://unstats.un.org/sdgs/metadata/files/Metadata-08-03-01.pdf
</t>
    </r>
    <r>
      <rPr>
        <b/>
        <sz val="10"/>
        <color theme="1"/>
        <rFont val="Calibri (Body)"/>
      </rPr>
      <t>This is an indicator measuring progress towards durable solutions.</t>
    </r>
    <r>
      <rPr>
        <sz val="10"/>
        <color theme="1"/>
        <rFont val="Calibri (Body)"/>
      </rPr>
      <t xml:space="preserve">
</t>
    </r>
    <r>
      <rPr>
        <b/>
        <sz val="10"/>
        <color theme="1"/>
        <rFont val="Calibri (Body)"/>
      </rPr>
      <t>Concepts:</t>
    </r>
    <r>
      <rPr>
        <sz val="10"/>
        <color theme="1"/>
        <rFont val="Calibri (Body)"/>
      </rPr>
      <t xml:space="preserve">
Informal employment comprises persons who in their main or secondary jobs were in one of the following categories: Own account workers, employers and members of producers’ cooperatives employed in their own informal sector enterprises (the characteristics of the enterprise determine the informal nature of their jobs); Own account workers engaged in the production of goods exclusively for own final use by their household (e.g. subsistence farming); Contributing  family  workers,  regardless  of  whether  they  work  in  formal  or  informal  sector enterprises  (they  usually  do  not  have  explicit,  written  contracts  of  employment,  and  are  not subject  to  labour  legislation,  social  security  regulations,  collective  agreements,  etc.,  which determines the informal nature of their jobs); Employees holding informal jobs, whether employed by formal sector enterprises, informal sector enterprises,  or  as  paid  domestic  workers  by  households  (employees  are  considered  to  have informal  jobs  if  their  employment  relationship  is,  in  law  or  in  practice,  not  subject  to  national labour  legislation,  income  taxation,  social  protection  or  entitlement  to  certain  employment benefits). See: https://unstats.un.org/sdgs/metadata/files/Metadata-08-03-01.pdf</t>
    </r>
  </si>
  <si>
    <t>Employed and self-employed target population by type of occupation</t>
  </si>
  <si>
    <t>What is [Name's] occupation?
[ISCO 08] 2 digits</t>
  </si>
  <si>
    <t>[ISCO 08] 2 digits</t>
  </si>
  <si>
    <r>
      <rPr>
        <b/>
        <sz val="10"/>
        <color theme="1"/>
        <rFont val="Calibri (Body)"/>
      </rPr>
      <t>Unit of measurement</t>
    </r>
    <r>
      <rPr>
        <sz val="10"/>
        <color theme="1"/>
        <rFont val="Calibri (Body)"/>
      </rPr>
      <t xml:space="preserve">: Individual
</t>
    </r>
    <r>
      <rPr>
        <b/>
        <sz val="10"/>
        <color theme="1"/>
        <rFont val="Calibri (Body)"/>
      </rPr>
      <t>General comment:</t>
    </r>
    <r>
      <rPr>
        <sz val="10"/>
        <color theme="1"/>
        <rFont val="Calibri (Body)"/>
      </rPr>
      <t xml:space="preserve">
ILO's International Standard Classification of Occupations (ISCO) is a tool for organizing jobs into a clearly defined set of groups according to the tasks and duties undertaken in the job. ISCO belongs to the international family of economic and social classifications. See: http://www.ilo.org/public/english/bureau/stat/isco/docs/resol08.pdf</t>
    </r>
  </si>
  <si>
    <t>3.1.4</t>
  </si>
  <si>
    <t>Target population working (employed and self-employed) prior to displacement by type of occupation</t>
  </si>
  <si>
    <t>What was your occupation prior to displacement/ in your place of origin?
[ISCO 08] 2 digits</t>
  </si>
  <si>
    <t>3.1.5.1</t>
  </si>
  <si>
    <t>Employed and self-employed target population that is underemployed</t>
  </si>
  <si>
    <t>TIME RELATED UNDEREMPLOYMENT
Think about your main job for the last 7 days; that is, the job that you spent the most time working at. How many hours did you spend working at that job over the last 7 days?                                                                
 [insert hours]
Is [Name] looking for more work?</t>
  </si>
  <si>
    <r>
      <rPr>
        <b/>
        <sz val="10"/>
        <color theme="1"/>
        <rFont val="Calibri (Body)"/>
      </rPr>
      <t>Unit of measurement</t>
    </r>
    <r>
      <rPr>
        <sz val="10"/>
        <color theme="1"/>
        <rFont val="Calibri (Body)"/>
      </rPr>
      <t xml:space="preserve">: Individual
</t>
    </r>
    <r>
      <rPr>
        <b/>
        <sz val="10"/>
        <color theme="1"/>
        <rFont val="Calibri (Body)"/>
      </rPr>
      <t>Concepts:</t>
    </r>
    <r>
      <rPr>
        <sz val="10"/>
        <color theme="1"/>
        <rFont val="Calibri (Body)"/>
      </rPr>
      <t xml:space="preserve">
The Resolution concerning the measurement of Underemployment and Situations of Inadequate Employment provides guidelines on two types of underemployment: time related underemployment, which is due to insufficient hours of work, and inadequate employment situations, which are due to other limitations in the labour market which limit the capacities and well being of workers. A person can be simultaneously in these two forms of underemployment. See: http://www.ilo.org/global/statistics-and-databases/standards-and-guidelines/resolutions-adopted-by-international-conferences-of-labour-statisticians/WCMS_087487/lang--en/index.htm &amp; https://www.ilo.org/wcmsp5/groups/public/---dgreports/---stat/documents/normativeinstrument/wcms_230304.pdf</t>
    </r>
  </si>
  <si>
    <t>3.1.5.2</t>
  </si>
  <si>
    <t>UNDEREMPLOYMENT RELATED TO INADEQUATE WORKING SITUATION
Can be elicited from looking at target population with higher education degrees (A.1.8) working in elementary occupations (3.1.3)</t>
  </si>
  <si>
    <t>3.1.6</t>
  </si>
  <si>
    <t>Target population undertaking pendular or seasonal movement due to work</t>
  </si>
  <si>
    <t>Have you moved temporarily because of work the past 12 months?/ Have you had seasonal work the past 12 months?</t>
  </si>
  <si>
    <r>
      <t xml:space="preserve">Unit of measurement: </t>
    </r>
    <r>
      <rPr>
        <sz val="10"/>
        <color theme="1"/>
        <rFont val="Calibri (Body)"/>
      </rPr>
      <t>Individual</t>
    </r>
  </si>
  <si>
    <t>Target population aged 5-17 engaged child labour (% of total child population 5-17 years of age)</t>
  </si>
  <si>
    <t>Elicited from question 3.1.1, when administered also to those aged 5-17</t>
  </si>
  <si>
    <r>
      <rPr>
        <b/>
        <sz val="10"/>
        <color theme="1"/>
        <rFont val="Calibri (Body)"/>
      </rPr>
      <t>Unit of measurement:</t>
    </r>
    <r>
      <rPr>
        <sz val="10"/>
        <color theme="1"/>
        <rFont val="Calibri (Body)"/>
      </rPr>
      <t xml:space="preserve"> Individual
</t>
    </r>
    <r>
      <rPr>
        <b/>
        <sz val="10"/>
        <color theme="1"/>
        <rFont val="Calibri (Body)"/>
      </rPr>
      <t>SDG indicator 8.7.1</t>
    </r>
    <r>
      <rPr>
        <sz val="10"/>
        <color theme="1"/>
        <rFont val="Calibri (Body)"/>
      </rPr>
      <t xml:space="preserve">: Metadata available here:https://unstats.un.org/sdgs/metadata/files/Metadata-08-07-01.pdf 
</t>
    </r>
    <r>
      <rPr>
        <b/>
        <sz val="10"/>
        <color theme="1"/>
        <rFont val="Calibri (Body)"/>
      </rPr>
      <t>This is an indicator measuring progress towards durable solutions.</t>
    </r>
    <r>
      <rPr>
        <sz val="10"/>
        <color theme="1"/>
        <rFont val="Calibri (Body)"/>
      </rPr>
      <t xml:space="preserve">
</t>
    </r>
    <r>
      <rPr>
        <b/>
        <sz val="10"/>
        <color theme="1"/>
        <rFont val="Calibri (Body)"/>
      </rPr>
      <t>Concepts</t>
    </r>
    <r>
      <rPr>
        <sz val="10"/>
        <color theme="1"/>
        <rFont val="Calibri (Body)"/>
      </rPr>
      <t>:
The term child labour refers to the subset of children’s activities that is injurious, negative or undesirable to children and that should be targeted for elimination. Child labour is a legal concept rather than a statistical one, 
and the international legal standards that define it are therefore the necessary frame of reference for child labour statistics. The three principal international conventions on child labour– ILO Convention No. 138  (Minimum Age) (C138), ILO Convention No. 182 (Worst Forms) (C182), and the United Nations Convention on the Rights of the Child (CRC), together set the legal boundaries for child labour, and provide the legal basis for national and international actions against it. See more: https://unstats.un.org/sdgs/metadata/files/Metadata-08-07-01.pdf</t>
    </r>
  </si>
  <si>
    <t>3.1.8</t>
  </si>
  <si>
    <t xml:space="preserve">Target population aged aged 15-24 years not in education, employment or training / </t>
  </si>
  <si>
    <t>Combination of question 3.1.1 and education question and training/vocational?</t>
  </si>
  <si>
    <r>
      <rPr>
        <b/>
        <sz val="10"/>
        <color theme="1"/>
        <rFont val="Calibri (Body)"/>
      </rPr>
      <t>Unit of measurement:</t>
    </r>
    <r>
      <rPr>
        <sz val="10"/>
        <color theme="1"/>
        <rFont val="Calibri (Body)"/>
      </rPr>
      <t xml:space="preserve"> Individual
</t>
    </r>
    <r>
      <rPr>
        <b/>
        <sz val="10"/>
        <color theme="1"/>
        <rFont val="Calibri (Body)"/>
      </rPr>
      <t xml:space="preserve">SDG indicator 8.6.1: </t>
    </r>
    <r>
      <rPr>
        <sz val="10"/>
        <color theme="1"/>
        <rFont val="Calibri (Body)"/>
      </rPr>
      <t xml:space="preserve">Metadata available here: https://unstats.un.org/sdgs/metadata/files/Metadata-08-06-01.pdf
</t>
    </r>
    <r>
      <rPr>
        <b/>
        <sz val="10"/>
        <color theme="1"/>
        <rFont val="Calibri (Body)"/>
      </rPr>
      <t>This is an indicator measuring progress towards durable solutions.</t>
    </r>
  </si>
  <si>
    <t>3.1.9</t>
  </si>
  <si>
    <t>Self-employed target population employing others (% of total self-employed target pop)</t>
  </si>
  <si>
    <t>Elicited from 3.1.1 option1</t>
  </si>
  <si>
    <r>
      <rPr>
        <b/>
        <sz val="10"/>
        <color theme="1"/>
        <rFont val="Calibri (Body)"/>
      </rPr>
      <t xml:space="preserve">Unit of measurement: </t>
    </r>
    <r>
      <rPr>
        <sz val="10"/>
        <color theme="1"/>
        <rFont val="Calibri (Body)"/>
      </rPr>
      <t>Individual</t>
    </r>
  </si>
  <si>
    <t>3.1.10</t>
  </si>
  <si>
    <t xml:space="preserve">Labor force population  who are unemployed (unemployment rate) </t>
  </si>
  <si>
    <t>Elicited from 3.1.1 options: 8,9</t>
  </si>
  <si>
    <r>
      <rPr>
        <b/>
        <sz val="10"/>
        <color theme="1"/>
        <rFont val="Calibri (Body)"/>
      </rPr>
      <t xml:space="preserve">Unit of measurement: </t>
    </r>
    <r>
      <rPr>
        <sz val="10"/>
        <color theme="1"/>
        <rFont val="Calibri (Body)"/>
      </rPr>
      <t xml:space="preserve">Individual 
</t>
    </r>
    <r>
      <rPr>
        <b/>
        <sz val="10"/>
        <color theme="1"/>
        <rFont val="Calibri (Body)"/>
      </rPr>
      <t xml:space="preserve">SDG indicator 8.5.2: </t>
    </r>
    <r>
      <rPr>
        <sz val="10"/>
        <color theme="1"/>
        <rFont val="Calibri (Body)"/>
      </rPr>
      <t xml:space="preserve">Metadata available here: https://unstats.un.org/sdgs/metadata/files/Metadata-08-05-02.pdf
</t>
    </r>
    <r>
      <rPr>
        <b/>
        <sz val="10"/>
        <color theme="1"/>
        <rFont val="Calibri (Body)"/>
      </rPr>
      <t>This is an indicator measuring progress towards durable solutions.</t>
    </r>
    <r>
      <rPr>
        <sz val="10"/>
        <color theme="1"/>
        <rFont val="Calibri (Body)"/>
      </rPr>
      <t xml:space="preserve">
</t>
    </r>
    <r>
      <rPr>
        <b/>
        <sz val="10"/>
        <color theme="1"/>
        <rFont val="Calibri (Body)"/>
      </rPr>
      <t>Concepts:</t>
    </r>
    <r>
      <rPr>
        <sz val="10"/>
        <color theme="1"/>
        <rFont val="Calibri (Body)"/>
      </rPr>
      <t xml:space="preserve"> 
Unemployment rate is defined as the umber of unemployed persons as a percentage of the labour force (the total number of people employed plus unemployed). Source: OECD.</t>
    </r>
  </si>
  <si>
    <t>Unemployed target population by main perceived obstacles/constraints to finding a job</t>
  </si>
  <si>
    <t>What do you think is [Name's]/ your biggest obstacle  to finding a job?
[Posed directly to a random respondent of the household or in the Roster]</t>
  </si>
  <si>
    <t>1. Not possible to get one's education recognised
2. Illiterate or not educated
3. Education/qualifications not matching available jobs
4. Not able to speak the language at all/well enough
5. Dont have the needed papers/legal status
6. The work conditions are exploitative (e.g. wages too low)
7. Available jobs are too far away
8. Dont know how to search/get a job
9. Too few jobs are available/not possible to get a job
10. Family constrains/responsibilities (having to take care of other family members)
11. Social reasons/ no socially appropriate work is available
12. Employers dont want to hire IDPs/specific ethnic groups (discrimination)
13. Other</t>
  </si>
  <si>
    <r>
      <rPr>
        <b/>
        <sz val="10"/>
        <color theme="1"/>
        <rFont val="Calibri (Body)"/>
      </rPr>
      <t>Unit of measurement:</t>
    </r>
    <r>
      <rPr>
        <sz val="10"/>
        <color theme="1"/>
        <rFont val="Calibri (Body)"/>
      </rPr>
      <t xml:space="preserve"> Individual </t>
    </r>
  </si>
  <si>
    <t>3.1.12</t>
  </si>
  <si>
    <t>Target population covered under social protection schemes (public or private)</t>
  </si>
  <si>
    <t xml:space="preserve">Is [Name] covered by a... 
1. health insurance scheme? 
2. pension scheme?
3. unemployment benefits scheme?
4. parental leave scheme?
5. [add as relevant to context]
</t>
  </si>
  <si>
    <t>For each selected scheme/benefit, is it public or private?
1- Yes: Public insurance only
2- Yes: private insurance only
3- Yes: both public and private
4- No</t>
  </si>
  <si>
    <r>
      <rPr>
        <b/>
        <sz val="10"/>
        <color theme="1"/>
        <rFont val="Calibri (Body)"/>
      </rPr>
      <t>Unit of measurement:</t>
    </r>
    <r>
      <rPr>
        <sz val="10"/>
        <color theme="1"/>
        <rFont val="Calibri (Body)"/>
      </rPr>
      <t xml:space="preserve"> Individual 
</t>
    </r>
    <r>
      <rPr>
        <b/>
        <sz val="10"/>
        <color theme="1"/>
        <rFont val="Calibri (Body)"/>
      </rPr>
      <t>SDG indicator 1.3.1 Metadata: https://unstats.un.org/sdgs/metadata/files/Metadata-01-03-01a.pdf and https://unstats.un.org/sdgs/metadata/files/Metadata-01-03-01b.pdf
This is an indicator measuring progress towards durable solutions.</t>
    </r>
    <r>
      <rPr>
        <sz val="10"/>
        <color theme="1"/>
        <rFont val="Calibri (Body)"/>
      </rPr>
      <t xml:space="preserve">
</t>
    </r>
    <r>
      <rPr>
        <b/>
        <sz val="10"/>
        <color theme="1"/>
        <rFont val="Calibri (Body)"/>
      </rPr>
      <t xml:space="preserve">Concepts: 
</t>
    </r>
    <r>
      <rPr>
        <sz val="10"/>
        <color theme="1"/>
        <rFont val="Calibri (Body)"/>
      </rPr>
      <t>The ILO Social Security (Minimum Standards) Convention, 1952 lays out nine principal branches of social security: "medical care, sickness, unemployment, old age, employment injury, family, maternity, invalidity and survivors' benefits". See www.ilo.org/global/standards/subjects-covered-by-international-labour-standards/social-security/lang--en/index.htm</t>
    </r>
  </si>
  <si>
    <t>3.2.1</t>
  </si>
  <si>
    <t>3.2 Household economy</t>
  </si>
  <si>
    <t>Target population by primary and secondary source of income/livelihood the past 30 days</t>
  </si>
  <si>
    <t>What is main source of money that your household had in the past 30 days?
What is the second main source of money that your household had in the past 30 days?</t>
  </si>
  <si>
    <t>1. Income from salaries
2. Income from daily wages
3. Income from business earnings (incl very small and household enterprises)
4. Support from family/community members abroad (remittances)
5. Social security (e.g. pension, unemployment benefits, disability benefits etc.)
6. Assistance (in cash) from UN/NGO
7. Income from renting out
8. Selling off own assets
9. Using loans (formal and from family/friends)
10. Using savings
11. Other</t>
  </si>
  <si>
    <r>
      <rPr>
        <b/>
        <sz val="10"/>
        <color theme="1"/>
        <rFont val="Calibri (Body)"/>
      </rPr>
      <t>Unit of measurement:</t>
    </r>
    <r>
      <rPr>
        <sz val="10"/>
        <color theme="1"/>
        <rFont val="Calibri (Body)"/>
      </rPr>
      <t xml:space="preserve"> Household
</t>
    </r>
    <r>
      <rPr>
        <b/>
        <sz val="10"/>
        <color theme="1"/>
        <rFont val="Calibri (Body)"/>
      </rPr>
      <t xml:space="preserve">General comment: 
</t>
    </r>
    <r>
      <rPr>
        <sz val="10"/>
        <color theme="1"/>
        <rFont val="Calibri (Body)"/>
      </rPr>
      <t xml:space="preserve">If subsistence farming is one of the livelihood means, then this question can be broadened to ask for subsistence means more generally and include farming/livestock for own consumption in addition to the monetary income sources. </t>
    </r>
  </si>
  <si>
    <t>Target population according to primary and secondary source of income/livelihood prior to displacement</t>
  </si>
  <si>
    <t>What was the main source of money that your household had prior to displacement?
What was the second main source of money that your household had prior to displacement?</t>
  </si>
  <si>
    <r>
      <rPr>
        <b/>
        <sz val="10"/>
        <color theme="1"/>
        <rFont val="Calibri (Body)"/>
      </rPr>
      <t>Unit of measurement:</t>
    </r>
    <r>
      <rPr>
        <sz val="10"/>
        <color theme="1"/>
        <rFont val="Calibri (Body)"/>
      </rPr>
      <t xml:space="preserve"> Household</t>
    </r>
  </si>
  <si>
    <t>3.2.3</t>
  </si>
  <si>
    <t>Target population relying primarily on sustainable income sources over the last 30 days</t>
  </si>
  <si>
    <t>Elicited from previous questions</t>
  </si>
  <si>
    <r>
      <rPr>
        <b/>
        <sz val="10"/>
        <color theme="1"/>
        <rFont val="Calibri (Body)"/>
      </rPr>
      <t>Unit of measurement:</t>
    </r>
    <r>
      <rPr>
        <sz val="10"/>
        <color theme="1"/>
        <rFont val="Calibri (Body)"/>
      </rPr>
      <t xml:space="preserve"> Household
</t>
    </r>
    <r>
      <rPr>
        <b/>
        <sz val="10"/>
        <color theme="1"/>
        <rFont val="Calibri (Body)"/>
      </rPr>
      <t>This is an indicator measuring progress towards durable solutions.</t>
    </r>
    <r>
      <rPr>
        <sz val="10"/>
        <color theme="1"/>
        <rFont val="Calibri (Body)"/>
      </rPr>
      <t xml:space="preserve">
</t>
    </r>
    <r>
      <rPr>
        <b/>
        <sz val="10"/>
        <color theme="1"/>
        <rFont val="Calibri (Body)"/>
      </rPr>
      <t xml:space="preserve">General comments: 
</t>
    </r>
    <r>
      <rPr>
        <sz val="10"/>
        <color theme="1"/>
        <rFont val="Calibri (Body)"/>
      </rPr>
      <t>Unsustainable income sources could include: donations, aid, loans, asset sales, use of savings etc.</t>
    </r>
  </si>
  <si>
    <t>Target population who in the last 6-12 months was not able to pay for basic expenses</t>
  </si>
  <si>
    <t xml:space="preserve">In the past 12 month/since arrival here was your household at any point not able to pay any of the following: 
1. to pay rent or utility bills 
2. to keep home adequately warm/cold 
3. to face unexpected expenses (of xx amount in x currency) 
4. to eat meat, fish or a protein equivalent every second day </t>
  </si>
  <si>
    <t>For each of the listed categories:
1. yes
2. no
3. dont know</t>
  </si>
  <si>
    <r>
      <rPr>
        <b/>
        <sz val="10"/>
        <color theme="1"/>
        <rFont val="Calibri (Body)"/>
      </rPr>
      <t>Unit of measurement</t>
    </r>
    <r>
      <rPr>
        <sz val="10"/>
        <color theme="1"/>
        <rFont val="Calibri (Body)"/>
      </rPr>
      <t>: Household</t>
    </r>
    <r>
      <rPr>
        <b/>
        <sz val="10"/>
        <color theme="1"/>
        <rFont val="Calibri (Body)"/>
      </rPr>
      <t xml:space="preserve">
This is an indicator measuring progress towards durable solutions.
General comment:
</t>
    </r>
    <r>
      <rPr>
        <sz val="10"/>
        <color theme="1"/>
        <rFont val="Calibri (Body)"/>
      </rPr>
      <t>This question is found in the Zaragosa indicators for integration in the EU.</t>
    </r>
  </si>
  <si>
    <t xml:space="preserve">Target population who in last 6-12 months who obtained a loan to cover basic expenses </t>
  </si>
  <si>
    <t>Do any of the members in your households have outstanding loans/ borrowed money that he/she has to repay?
1. yes
2. no
3. dont know
What is the main purpose of the household loan(s)?"
1. Business related
2. Personal consumption needs (e.g. food and clothes)
3. Purchase and improvement of dwelling
4. Religious/wedding/burial
5. Consumer durables (e.g. car)
6. On-lending
7. Farm/agriculture purpose
8. For paying housing rent
9. Other
10. Don't know</t>
  </si>
  <si>
    <t>3.2.5.2</t>
  </si>
  <si>
    <t>ALTERNATIVELY 
[If your household was not able to covers it basic expenses] Did you get a loan to cover basic expenses?</t>
  </si>
  <si>
    <t>Target population's average expenditure by type of expense per capita</t>
  </si>
  <si>
    <t>Please give an approximate amount of your household spending on Food in the past 7 days.
Please give an approximate amount of your household spending on Housing (rent, utilities, repairs) in the past 30 days.
Please give an approximate amount of your household spending on Healthcare (Includes medicines, treatment) past 30 days.
Please give an approximate amount of your household spending on water and electricity (as utilities) (Water as utility or purchase of water for drinking) in the past 30 days
Please give an approximate amount of your household spending on Fuel (for cooking and heating) and Transportation (Taxis, bus, etc) in the past 30 days 
Please give an approximate amount of your household spending on Education (School fees, uniforms, supplies) in the past 30 days
Please give an approximate amount of your household spending on repaying loan(s) in the past 30 days
Please give an approximate amount of your household spending on Other needs in the past 30 days (e.g. taxes, religious/cultural events etc.)</t>
  </si>
  <si>
    <r>
      <t xml:space="preserve">Unit of measurement: </t>
    </r>
    <r>
      <rPr>
        <sz val="10"/>
        <color theme="1"/>
        <rFont val="Calibri (Body)"/>
      </rPr>
      <t>Household</t>
    </r>
  </si>
  <si>
    <t>3.2.7</t>
  </si>
  <si>
    <t>Ratio of average food expenditures against average total expenditures, per capita</t>
  </si>
  <si>
    <t>Elicited from above</t>
  </si>
  <si>
    <r>
      <rPr>
        <b/>
        <sz val="10"/>
        <color theme="1"/>
        <rFont val="Calibri (Body)"/>
      </rPr>
      <t>Unit of measurement:</t>
    </r>
    <r>
      <rPr>
        <sz val="10"/>
        <color theme="1"/>
        <rFont val="Calibri (Body)"/>
      </rPr>
      <t xml:space="preserve"> Household
</t>
    </r>
    <r>
      <rPr>
        <b/>
        <sz val="10"/>
        <color theme="1"/>
        <rFont val="Calibri (Body)"/>
      </rPr>
      <t>This is an indicator measuring progress towards durable solutions.</t>
    </r>
    <r>
      <rPr>
        <sz val="10"/>
        <color theme="1"/>
        <rFont val="Calibri (Body)"/>
      </rPr>
      <t xml:space="preserve">
</t>
    </r>
    <r>
      <rPr>
        <b/>
        <sz val="10"/>
        <color theme="1"/>
        <rFont val="Calibri (Body)"/>
      </rPr>
      <t xml:space="preserve">General comment:
</t>
    </r>
    <r>
      <rPr>
        <sz val="10"/>
        <color theme="1"/>
        <rFont val="Calibri (Body)"/>
      </rPr>
      <t>The</t>
    </r>
    <r>
      <rPr>
        <b/>
        <sz val="10"/>
        <color theme="1"/>
        <rFont val="Calibri (Body)"/>
      </rPr>
      <t xml:space="preserve"> </t>
    </r>
    <r>
      <rPr>
        <sz val="10"/>
        <color theme="1"/>
        <rFont val="Calibri (Body)"/>
      </rPr>
      <t xml:space="preserve">food ratio can be used an as indicator for economic vulnerability: the greater the ratio the less economic flexibility.  </t>
    </r>
  </si>
  <si>
    <t>3.2.8</t>
  </si>
  <si>
    <t>Target population living below the poverty line</t>
  </si>
  <si>
    <r>
      <rPr>
        <b/>
        <sz val="10"/>
        <color theme="1"/>
        <rFont val="Calibri (Body)"/>
      </rPr>
      <t>Unit of measurement:</t>
    </r>
    <r>
      <rPr>
        <sz val="10"/>
        <color theme="1"/>
        <rFont val="Calibri (Body)"/>
      </rPr>
      <t xml:space="preserve"> Household
</t>
    </r>
    <r>
      <rPr>
        <b/>
        <sz val="10"/>
        <color theme="1"/>
        <rFont val="Calibri (Body)"/>
      </rPr>
      <t>SDG indicator 1.1.1/1.2.1:</t>
    </r>
    <r>
      <rPr>
        <sz val="10"/>
        <color theme="1"/>
        <rFont val="Calibri (Body)"/>
      </rPr>
      <t xml:space="preserve"> Metadata available here: https://unstats.un.org/sdgs/metadata/files/Metadata-01-01-01a.pdf
https://unstats.un.org/sdgs/metadata/files/Metadata-01-01-01b.pdf
https://unstats.un.org/sdgs/metadata/files/Metadata-01-02-01.pdf
</t>
    </r>
    <r>
      <rPr>
        <b/>
        <sz val="10"/>
        <color theme="1"/>
        <rFont val="Calibri (Body)"/>
      </rPr>
      <t>This is an indicator measuring progress towards durable solutions.</t>
    </r>
    <r>
      <rPr>
        <sz val="10"/>
        <color theme="1"/>
        <rFont val="Calibri (Body)"/>
      </rPr>
      <t xml:space="preserve">
</t>
    </r>
    <r>
      <rPr>
        <b/>
        <sz val="10"/>
        <color theme="1"/>
        <rFont val="Calibri (Body)"/>
      </rPr>
      <t>Concepts:</t>
    </r>
    <r>
      <rPr>
        <sz val="10"/>
        <color theme="1"/>
        <rFont val="Calibri (Body)"/>
      </rPr>
      <t xml:space="preserve"> 
People living below a poverty line do not have enough to meet their basic needs. Countries typically define national poverty lines, and the World Bank uses the lines of a group of the poorest countries to define the international extreme poverty line of $1.90 per day. See more on poverty analysis and welfare measures: https://www.worldbank.org/en/topic/measuringpoverty</t>
    </r>
  </si>
  <si>
    <t>3.3 Access to productive assets, markets and financial services</t>
  </si>
  <si>
    <t>Agricultural target population with ownership or secure rights over agricultural land</t>
  </si>
  <si>
    <t>Does anyone in your household own any agricultural land, either alone or jointly with someone else? 
1. Yes
2. No 
[if land is owned] Is there an ownership document for any of the agricultural land you own? (allow for &gt;1 type of document to be listed) 
1. title deed
2. certificate of customary ownership
3. certificate of occupancy
4. will
5. certificate of hereditary acquisition
6. purchase agreement
7. certificate of perpetual or long term lease
8. other 
9. no document 
Is your name listed as an owner on any of the ownership documents? (Y/N) 
Do you have the right to sell any of the agricultural land you own, either alone or jointly with someone else? (Y/N/N it cannot be sold) 
Do you have the right to bequeath any of the agricultural land you own, either alone or jointly with someone else? (Y/N/N it cannot be bequeathed)</t>
  </si>
  <si>
    <r>
      <rPr>
        <b/>
        <sz val="10"/>
        <color theme="1"/>
        <rFont val="Calibri (Body)"/>
      </rPr>
      <t>Unit of measurement:</t>
    </r>
    <r>
      <rPr>
        <sz val="10"/>
        <color theme="1"/>
        <rFont val="Calibri (Body)"/>
      </rPr>
      <t xml:space="preserve"> Household
</t>
    </r>
    <r>
      <rPr>
        <b/>
        <sz val="10"/>
        <color theme="1"/>
        <rFont val="Calibri (Body)"/>
      </rPr>
      <t>SDG indicator 5.a.1:</t>
    </r>
    <r>
      <rPr>
        <sz val="10"/>
        <color theme="1"/>
        <rFont val="Calibri (Body)"/>
      </rPr>
      <t xml:space="preserve"> Metadata available here: https://unstats.un.org/sdgs/metadata/files/Metadata-05-0a-01.pdf
</t>
    </r>
    <r>
      <rPr>
        <b/>
        <sz val="10"/>
        <color theme="1"/>
        <rFont val="Calibri (Body)"/>
      </rPr>
      <t>This is an indicator measuring progress towards durable solutions.</t>
    </r>
    <r>
      <rPr>
        <sz val="10"/>
        <color theme="1"/>
        <rFont val="Calibri (Body)"/>
      </rPr>
      <t xml:space="preserve">
</t>
    </r>
    <r>
      <rPr>
        <b/>
        <sz val="10"/>
        <color theme="1"/>
        <rFont val="Calibri (Body)"/>
      </rPr>
      <t>Concepts:</t>
    </r>
    <r>
      <rPr>
        <sz val="10"/>
        <color theme="1"/>
        <rFont val="Calibri (Body)"/>
      </rPr>
      <t xml:space="preserve"> 
Agricultural population has to be interpreted as equivalent of ‘individuals engaged 
in agriculture’.' Secure rights' relies on 
the three conditions (proxies): 1) Presence of legally recognised documents in the name of the individual; 2) right to sell; 3) right to bequeath. See more: https://unstats.un.org/sdgs/metadata/files/Metadata-05-0a-01.pdf</t>
    </r>
  </si>
  <si>
    <t>3.3.2</t>
  </si>
  <si>
    <t>Agricultural target population with use rights to agricultural land</t>
  </si>
  <si>
    <t>Does anyone in your household have the right to use land?</t>
  </si>
  <si>
    <t>1. Yes, for grazing
2. Yes, for growing
3. Yes, for gathering forest products
4. No</t>
  </si>
  <si>
    <r>
      <rPr>
        <b/>
        <sz val="10"/>
        <color theme="1"/>
        <rFont val="Calibri (Body)"/>
      </rPr>
      <t xml:space="preserve">Unit of measurement: </t>
    </r>
    <r>
      <rPr>
        <sz val="10"/>
        <color theme="1"/>
        <rFont val="Calibri (Body)"/>
      </rPr>
      <t xml:space="preserve">Individual
</t>
    </r>
    <r>
      <rPr>
        <b/>
        <sz val="10"/>
        <color theme="1"/>
        <rFont val="Calibri (Body)"/>
      </rPr>
      <t xml:space="preserve">Concepts: </t>
    </r>
    <r>
      <rPr>
        <sz val="10"/>
        <color theme="1"/>
        <rFont val="Calibri (Body)"/>
      </rPr>
      <t xml:space="preserve">
Use rights, as opposed to control and transfer rights, entail the right to use the land for grazing, growing subsistence crops, gathering minor forestry products, etc. See: http://www.fao.org/docrep/005/Y4308E/y4308e04.htm#bm04</t>
    </r>
  </si>
  <si>
    <t xml:space="preserve">Target population who own productive assets by type of assets </t>
  </si>
  <si>
    <t xml:space="preserve">Elicited from questions on ownership of housing and of (agricultural) land. Additionally, a question can be added around farm or other business equipment.
</t>
  </si>
  <si>
    <r>
      <rPr>
        <b/>
        <sz val="10"/>
        <color theme="1"/>
        <rFont val="Calibri (Body)"/>
      </rPr>
      <t>Unit of measurement:</t>
    </r>
    <r>
      <rPr>
        <sz val="10"/>
        <color theme="1"/>
        <rFont val="Calibri (Body)"/>
      </rPr>
      <t xml:space="preserve"> Household
</t>
    </r>
    <r>
      <rPr>
        <b/>
        <sz val="10"/>
        <color theme="1"/>
        <rFont val="Calibri (Body)"/>
      </rPr>
      <t xml:space="preserve">General comments: 
</t>
    </r>
    <r>
      <rPr>
        <sz val="10"/>
        <color theme="1"/>
        <rFont val="Calibri (Body)"/>
      </rPr>
      <t>Assets may include: livestock or durable goods such as production equipment, agricultural inputs, etc.</t>
    </r>
  </si>
  <si>
    <t>3.3.3.2</t>
  </si>
  <si>
    <t>Does anyone in your household own any of the following assets?</t>
  </si>
  <si>
    <t>1. Land for agricultural use
2. Livestock
3. Farming equipment
4. Other business equipment [specify as relevant]
5. Other</t>
  </si>
  <si>
    <t>Target population with access to markets</t>
  </si>
  <si>
    <t xml:space="preserve">How easily can you access the nearest market where you can buy and sell things? 
</t>
  </si>
  <si>
    <t>1. Not possible to access any market
2. Very difficult to access the market
3. Somewhat difficult to access the market
4. Moderately easy to access the market
5. Very easy to access the market</t>
  </si>
  <si>
    <r>
      <rPr>
        <b/>
        <sz val="10"/>
        <color theme="1"/>
        <rFont val="Calibri (Body)"/>
      </rPr>
      <t>Unit of measurement:</t>
    </r>
    <r>
      <rPr>
        <sz val="10"/>
        <color theme="1"/>
        <rFont val="Calibri (Body)"/>
      </rPr>
      <t xml:space="preserve"> Household
</t>
    </r>
    <r>
      <rPr>
        <b/>
        <sz val="10"/>
        <color theme="1"/>
        <rFont val="Calibri (Body)"/>
      </rPr>
      <t>This is an indicator measuring progress towards durable solutions.</t>
    </r>
    <r>
      <rPr>
        <sz val="10"/>
        <color theme="1"/>
        <rFont val="Calibri (Body)"/>
      </rPr>
      <t xml:space="preserve">
</t>
    </r>
    <r>
      <rPr>
        <b/>
        <sz val="10"/>
        <color theme="1"/>
        <rFont val="Calibri (Body)"/>
      </rPr>
      <t xml:space="preserve">General comments: 
</t>
    </r>
    <r>
      <rPr>
        <sz val="10"/>
        <color theme="1"/>
        <rFont val="Calibri (Body)"/>
      </rPr>
      <t>Access to markets entails the ability to buy and sell needed good.</t>
    </r>
  </si>
  <si>
    <t>Target population with no access to markets by main obstacle(s)</t>
  </si>
  <si>
    <t xml:space="preserve">[if access is not possible or difficult] What is the main challenge in reaching the market? </t>
  </si>
  <si>
    <t xml:space="preserve">1. Do not need to go there
2. Too far
3. Too expensive to travel
4. Do not have the time to go there
5. It is not safe to go there
6. Products there are not of good quality
7. Other </t>
  </si>
  <si>
    <r>
      <rPr>
        <b/>
        <sz val="10"/>
        <color theme="1"/>
        <rFont val="Calibri (Body)"/>
      </rPr>
      <t>Unit of measurement:</t>
    </r>
    <r>
      <rPr>
        <sz val="10"/>
        <color theme="1"/>
        <rFont val="Calibri (Body)"/>
      </rPr>
      <t xml:space="preserve"> Household
</t>
    </r>
    <r>
      <rPr>
        <b/>
        <sz val="10"/>
        <color theme="1"/>
        <rFont val="Calibri (Body)"/>
      </rPr>
      <t xml:space="preserve">General comments: </t>
    </r>
    <r>
      <rPr>
        <sz val="10"/>
        <color theme="1"/>
        <rFont val="Calibri (Body)"/>
      </rPr>
      <t xml:space="preserve">
Access to markets entails the ability to buy and sell needed good.</t>
    </r>
  </si>
  <si>
    <t>3.3.6</t>
  </si>
  <si>
    <t>Target population where at least one person in household has a bank account</t>
  </si>
  <si>
    <r>
      <rPr>
        <b/>
        <sz val="10"/>
        <color theme="1"/>
        <rFont val="Calibri (Body)"/>
      </rPr>
      <t>Unit of measurement</t>
    </r>
    <r>
      <rPr>
        <sz val="10"/>
        <color theme="1"/>
        <rFont val="Calibri (Body)"/>
      </rPr>
      <t xml:space="preserve">: Household
</t>
    </r>
    <r>
      <rPr>
        <b/>
        <sz val="10"/>
        <color theme="1"/>
        <rFont val="Calibri (Body)"/>
      </rPr>
      <t>This is an indicator measuring progress towards durable solutions.</t>
    </r>
    <r>
      <rPr>
        <sz val="10"/>
        <color theme="1"/>
        <rFont val="Calibri (Body)"/>
      </rPr>
      <t xml:space="preserve">
Related to SDG indicator 8.10.2, metadata: https://unstats.un.org/sdgs/metadata/files/Metadata-08-10-02.pdf</t>
    </r>
  </si>
  <si>
    <t>3.3.7</t>
  </si>
  <si>
    <t>Target population where no person in the household has a bank account by obstacles to getting one</t>
  </si>
  <si>
    <t>4. Access to effective mechanisms to restore housing, land and property (HLP) or to provide compensation</t>
  </si>
  <si>
    <t>4.1 Access to housing land and property (HLP) restitution/ compensation</t>
  </si>
  <si>
    <t>Target population by ownership/tenancy of housing, land and property prior to displacement</t>
  </si>
  <si>
    <r>
      <rPr>
        <b/>
        <sz val="10"/>
        <color theme="1"/>
        <rFont val="Calibri (Body)"/>
      </rPr>
      <t>Unit of measurement:</t>
    </r>
    <r>
      <rPr>
        <sz val="10"/>
        <color theme="1"/>
        <rFont val="Calibri (Body)"/>
      </rPr>
      <t xml:space="preserve"> Individual 
</t>
    </r>
    <r>
      <rPr>
        <b/>
        <sz val="10"/>
        <color theme="1"/>
        <rFont val="Calibri (Body)"/>
      </rPr>
      <t>General comments:</t>
    </r>
    <r>
      <rPr>
        <sz val="10"/>
        <color theme="1"/>
        <rFont val="Calibri (Body)"/>
      </rPr>
      <t xml:space="preserve"> 
Housing, land and property may include: housing, non agricultural land, agricultural land, livestock, farm equipment, business assets, other.
</t>
    </r>
  </si>
  <si>
    <t>Target population with documents to prove ownership/tenancy of housing, land and property left behind (% of total target population who left behind HLP)</t>
  </si>
  <si>
    <t xml:space="preserve">1.        Yes
2.        No, they got lost
3.        No, never had
4.        Don’t want to answer
5.        Don’t know.
</t>
  </si>
  <si>
    <r>
      <rPr>
        <b/>
        <sz val="10"/>
        <color theme="1"/>
        <rFont val="Calibri (Body)"/>
      </rPr>
      <t>Unit of measurement:</t>
    </r>
    <r>
      <rPr>
        <sz val="10"/>
        <color theme="1"/>
        <rFont val="Calibri (Body)"/>
      </rPr>
      <t xml:space="preserve"> Individual 
</t>
    </r>
    <r>
      <rPr>
        <b/>
        <sz val="10"/>
        <color theme="1"/>
        <rFont val="Calibri (Body)"/>
      </rPr>
      <t>General comments:</t>
    </r>
    <r>
      <rPr>
        <sz val="10"/>
        <color theme="1"/>
        <rFont val="Calibri (Body)"/>
      </rPr>
      <t xml:space="preserve"> 
Housing, land and property may include: housing, non agricultural land, agricultural land, livestock, farm equipment, business assets, other.</t>
    </r>
  </si>
  <si>
    <t>Target population with housing, land and property left behind who successfully accessed restitution or compensation mechanisms (% of target population with HLP left behind) - if relevant to context</t>
  </si>
  <si>
    <r>
      <rPr>
        <b/>
        <sz val="10"/>
        <color theme="1"/>
        <rFont val="Calibri (Body)"/>
      </rPr>
      <t xml:space="preserve">Unit of measurement: </t>
    </r>
    <r>
      <rPr>
        <sz val="10"/>
        <color theme="1"/>
        <rFont val="Calibri (Body)"/>
      </rPr>
      <t xml:space="preserve">Individual 
</t>
    </r>
    <r>
      <rPr>
        <b/>
        <sz val="10"/>
        <color theme="1"/>
        <rFont val="Calibri (Body)"/>
      </rPr>
      <t>This is an indicator measuring progress towards durable solutions.</t>
    </r>
    <r>
      <rPr>
        <sz val="10"/>
        <color theme="1"/>
        <rFont val="Calibri (Body)"/>
      </rPr>
      <t xml:space="preserve">
</t>
    </r>
    <r>
      <rPr>
        <b/>
        <sz val="10"/>
        <color theme="1"/>
        <rFont val="Calibri (Body)"/>
      </rPr>
      <t>Concepts:</t>
    </r>
    <r>
      <rPr>
        <sz val="10"/>
        <color theme="1"/>
        <rFont val="Calibri (Body)"/>
      </rPr>
      <t xml:space="preserve">
The term restitution and compensation are defined in the  'Pinheiro Principles' (Principles on Housing and Property Restitution for Refugees and Displaced Persons) and the Handbook on Housing and Property Restitution for Refugees and Displaced Persons - Implementing the ‘Pinheiro Principles’ See: https://www.un.org/ruleoflaw/files/pinheiro_principles.pdf
</t>
    </r>
    <r>
      <rPr>
        <b/>
        <sz val="10"/>
        <color theme="1"/>
        <rFont val="Calibri (Body)"/>
      </rPr>
      <t xml:space="preserve">General comment:
</t>
    </r>
    <r>
      <rPr>
        <sz val="10"/>
        <color theme="1"/>
        <rFont val="Calibri (Body)"/>
      </rPr>
      <t xml:space="preserve">This set of questions on accessing restitution or compensation mechanisms are only relevant if such mechanisms are in place. </t>
    </r>
  </si>
  <si>
    <t>4.1.4</t>
  </si>
  <si>
    <t>Target population with housing, land and property left behind who successfully accessed restitution or compensation mechanisms (% of target population with HLP left behind) by type of mechanism (formal or informal) - if relevant to context</t>
  </si>
  <si>
    <t xml:space="preserve">Included in 4.1.4 (if enough to distinguish between formal and informal) </t>
  </si>
  <si>
    <r>
      <rPr>
        <b/>
        <sz val="10"/>
        <color theme="1"/>
        <rFont val="Calibri (Body)"/>
      </rPr>
      <t>Unit of measurement</t>
    </r>
    <r>
      <rPr>
        <sz val="10"/>
        <color theme="1"/>
        <rFont val="Calibri (Body)"/>
      </rPr>
      <t xml:space="preserve">: Individual </t>
    </r>
  </si>
  <si>
    <t>Target population with housing, land and property  left behind who have had their claims to assets (incl. land and property) resolved</t>
  </si>
  <si>
    <r>
      <rPr>
        <b/>
        <sz val="10"/>
        <color theme="1"/>
        <rFont val="Calibri (Body)"/>
      </rPr>
      <t>Unit of measurement</t>
    </r>
    <r>
      <rPr>
        <sz val="10"/>
        <color theme="1"/>
        <rFont val="Calibri (Body)"/>
      </rPr>
      <t xml:space="preserve">: Individual 
</t>
    </r>
    <r>
      <rPr>
        <b/>
        <sz val="10"/>
        <color theme="1"/>
        <rFont val="Calibri (Body)"/>
      </rPr>
      <t xml:space="preserve">This is an indicator measuring progress towards durable solutions.  </t>
    </r>
  </si>
  <si>
    <t>Target population with housing, land and property  left behind who have had their claims to assets (incl. land and property) enforced</t>
  </si>
  <si>
    <r>
      <t xml:space="preserve">Unit of measurement: Individual 
</t>
    </r>
    <r>
      <rPr>
        <b/>
        <sz val="10"/>
        <color theme="1"/>
        <rFont val="Calibri (Body)"/>
      </rPr>
      <t>This is an indicator measuring progress towards durable solutions.</t>
    </r>
  </si>
  <si>
    <t>Target population who did not access restitution or compensation mechanisms by main reason</t>
  </si>
  <si>
    <t>5. Access to and replacement of personal and other documentation</t>
  </si>
  <si>
    <t>5.1 Possession of IDs and other personal documents</t>
  </si>
  <si>
    <t>Target population currently in possession of valid birth certificates, national ID cards or other personal identification documents relevant to the context</t>
  </si>
  <si>
    <t>Please tell me, which of the following documents does (NAME) possess now? 
[If NAME is under 5 years of age and has no Birth certificate] Is [NAME]' s birth registered with the authorities?
1. Yes
2. No
3. Don’t know</t>
  </si>
  <si>
    <t>1. Birth Certificate
2. Nationality certificate
3. Identity card
4. Driver’s License
5. Passport
6. Resident's permit
7. Work permit
8. Visa
9. Foreign registrations
10. Emergency Travel Permits
11. Refugee / IDP ID Cards
12. Other (Specify)
13. Don't know
14. Refused to respond</t>
  </si>
  <si>
    <r>
      <rPr>
        <b/>
        <sz val="10"/>
        <color theme="1"/>
        <rFont val="Calibri (Body)"/>
      </rPr>
      <t>Unit of measurement</t>
    </r>
    <r>
      <rPr>
        <sz val="10"/>
        <color theme="1"/>
        <rFont val="Calibri (Body)"/>
      </rPr>
      <t xml:space="preserve">: Individual 
</t>
    </r>
    <r>
      <rPr>
        <b/>
        <sz val="10"/>
        <color theme="1"/>
        <rFont val="Calibri (Body)"/>
      </rPr>
      <t>This is an indicator measuring progress towards durable solutions.</t>
    </r>
  </si>
  <si>
    <r>
      <rPr>
        <b/>
        <sz val="10"/>
        <color theme="1"/>
        <rFont val="Calibri (Body)"/>
      </rPr>
      <t>Unit of measurement</t>
    </r>
    <r>
      <rPr>
        <sz val="10"/>
        <color theme="1"/>
        <rFont val="Calibri (Body)"/>
      </rPr>
      <t xml:space="preserve">: Individual 
</t>
    </r>
    <r>
      <rPr>
        <b/>
        <sz val="10"/>
        <color theme="1"/>
        <rFont val="Calibri (Body)"/>
      </rPr>
      <t>This is an indicator measuring progress towards durable solutions.</t>
    </r>
    <r>
      <rPr>
        <sz val="10"/>
        <color theme="1"/>
        <rFont val="Calibri (Body)"/>
      </rPr>
      <t xml:space="preserve">
</t>
    </r>
    <r>
      <rPr>
        <b/>
        <sz val="10"/>
        <color theme="1"/>
        <rFont val="Calibri (Body)"/>
      </rPr>
      <t>General comments:</t>
    </r>
    <r>
      <rPr>
        <sz val="10"/>
        <color theme="1"/>
        <rFont val="Calibri (Body)"/>
      </rPr>
      <t xml:space="preserve"> 
Other personal documentation can include: marriage  certificates,  voter  identification  cards,  title  deeds,  school records and professional or academic certificates or social security cards.</t>
    </r>
  </si>
  <si>
    <t>5.2Incidence of documentation loss &amp; access to replacement</t>
  </si>
  <si>
    <r>
      <rPr>
        <b/>
        <sz val="10"/>
        <color theme="1"/>
        <rFont val="Calibri (Body)"/>
      </rPr>
      <t xml:space="preserve">Unit of measurement: </t>
    </r>
    <r>
      <rPr>
        <sz val="10"/>
        <color theme="1"/>
        <rFont val="Calibri (Body)"/>
      </rPr>
      <t xml:space="preserve">Individual 
</t>
    </r>
    <r>
      <rPr>
        <b/>
        <sz val="10"/>
        <color theme="1"/>
        <rFont val="Calibri (Body)"/>
      </rPr>
      <t xml:space="preserve">General comments: </t>
    </r>
    <r>
      <rPr>
        <sz val="10"/>
        <color theme="1"/>
        <rFont val="Calibri (Body)"/>
      </rPr>
      <t xml:space="preserve">
Personal identification refers to valid birth certificates, national ID cards or other personal identification documents relevant to the context.</t>
    </r>
  </si>
  <si>
    <t>Questions included under 5.2.1</t>
  </si>
  <si>
    <t>5.3 Registration</t>
  </si>
  <si>
    <r>
      <rPr>
        <b/>
        <sz val="10"/>
        <color theme="1"/>
        <rFont val="Calibri (Body)"/>
      </rPr>
      <t>Unit of measurement:</t>
    </r>
    <r>
      <rPr>
        <sz val="10"/>
        <color theme="1"/>
        <rFont val="Calibri (Body)"/>
      </rPr>
      <t xml:space="preserve"> Individual 
</t>
    </r>
    <r>
      <rPr>
        <b/>
        <sz val="10"/>
        <color theme="1"/>
        <rFont val="Calibri (Body)"/>
      </rPr>
      <t xml:space="preserve">General comment: </t>
    </r>
    <r>
      <rPr>
        <sz val="10"/>
        <color theme="1"/>
        <rFont val="Calibri (Body)"/>
      </rPr>
      <t xml:space="preserve">
This is only relevant in context where authorities register IDPs.</t>
    </r>
  </si>
  <si>
    <t>5.3.2</t>
  </si>
  <si>
    <t>Children under 5 years of age in target population whose births have been registered with a civil authority</t>
  </si>
  <si>
    <t>Included in 5.1.1</t>
  </si>
  <si>
    <r>
      <rPr>
        <b/>
        <sz val="10"/>
        <color theme="1"/>
        <rFont val="Calibri (Body)"/>
      </rPr>
      <t>Unit of measurement:</t>
    </r>
    <r>
      <rPr>
        <sz val="10"/>
        <color theme="1"/>
        <rFont val="Calibri (Body)"/>
      </rPr>
      <t xml:space="preserve"> Individual 
</t>
    </r>
    <r>
      <rPr>
        <b/>
        <sz val="10"/>
        <color theme="1"/>
        <rFont val="Calibri (Body)"/>
      </rPr>
      <t>SDG indicator 16.9.1:</t>
    </r>
    <r>
      <rPr>
        <sz val="10"/>
        <color theme="1"/>
        <rFont val="Calibri (Body)"/>
      </rPr>
      <t xml:space="preserve"> Metadata available here: https://unstats.un.org/sdgs/metadata/files/Metadata-16-09-01.pdf
</t>
    </r>
    <r>
      <rPr>
        <b/>
        <sz val="10"/>
        <color theme="1"/>
        <rFont val="Calibri (Body)"/>
      </rPr>
      <t>This is an indicator measuring progress towards durable solutions.</t>
    </r>
    <r>
      <rPr>
        <sz val="10"/>
        <color theme="1"/>
        <rFont val="Calibri (Body)"/>
      </rPr>
      <t xml:space="preserve">
</t>
    </r>
    <r>
      <rPr>
        <b/>
        <sz val="10"/>
        <color theme="1"/>
        <rFont val="Calibri (Body)"/>
      </rPr>
      <t>General comments:</t>
    </r>
    <r>
      <rPr>
        <sz val="10"/>
        <color theme="1"/>
        <rFont val="Calibri (Body)"/>
      </rPr>
      <t xml:space="preserve">
Registering children at birth is the first step in securing their recognition before the law, safeguarding their rights, and ensuring that any violation of these rights does not go unnoticed. Children without official identification documents may be denied health care or education. Later in life, the lack of such documentation can mean that a child may enter into marriage or the labour market, or 
be conscripted into the armed forces, before the legal age. In adulthood, birth certificates may be required to obtain social assistance or a job in the formal sector, to buy or prove the right to inherit property, to vote and to obtain a passport. See: https://unstats.un.org/sdgs/metadata/files/Metadata-16-09-01.pdf</t>
    </r>
  </si>
  <si>
    <t>6.1.1</t>
  </si>
  <si>
    <t>6. Voluntary reunification with family members separated during displacement</t>
  </si>
  <si>
    <t>6.1 Incidence of family separation</t>
  </si>
  <si>
    <t>Target population with separated household members</t>
  </si>
  <si>
    <t>Are any of the members who formed your household prior to displacement missing at this time?
[if yes] List members in relation to head of HH
[Important to define household as that varies a lot, do we talk about extended, core]</t>
  </si>
  <si>
    <t xml:space="preserve">1. Yes
3. No
4.  Don't know
5. Refused to respond   </t>
  </si>
  <si>
    <r>
      <rPr>
        <b/>
        <sz val="10"/>
        <color theme="1"/>
        <rFont val="Calibri (Body)"/>
      </rPr>
      <t>Unit of measurement</t>
    </r>
    <r>
      <rPr>
        <sz val="10"/>
        <color theme="1"/>
        <rFont val="Calibri (Body)"/>
      </rPr>
      <t xml:space="preserve">: Household
</t>
    </r>
    <r>
      <rPr>
        <b/>
        <sz val="10"/>
        <color theme="1"/>
        <rFont val="Calibri (Body)"/>
      </rPr>
      <t xml:space="preserve">
This is an indicator measuring progress towards durable solutions.</t>
    </r>
  </si>
  <si>
    <t>Target population with separated household members by reason(s) for separation</t>
  </si>
  <si>
    <t>Why are (member) separated from the rest of the household?</t>
  </si>
  <si>
    <t xml:space="preserve">1. Recruited by or joined armed forces
2. Stayed behind at original place of residence: for work
3. Stayed behind at the original place of residence: for cultivating land
4. Stayed behind at the original place of residence: to look after property
5. Stayed behind at the original place of residence: due to lack of money to travel together 
6. Stayed behind at the original place of residence: due to journey/destination not being safe enough
7. Stayed behind at the original place of residence: due to mobility difficulties (e.g. disability, elderly, etc.)
8. Stayed behind at the original place of residence: for other reasons
9. Displaced to another location: s/he chose to go elsewhere (e.g. for work)
10. Displaced to another location: forced to go there
11. Other
</t>
  </si>
  <si>
    <t>Unaccompanied and separated children in target population</t>
  </si>
  <si>
    <t>Elicited from household composition and age  in Roster in combination with above question on the members of HH separated</t>
  </si>
  <si>
    <r>
      <rPr>
        <b/>
        <sz val="10"/>
        <color theme="1"/>
        <rFont val="Calibri (Body)"/>
      </rPr>
      <t>Unit of measurement</t>
    </r>
    <r>
      <rPr>
        <sz val="10"/>
        <color theme="1"/>
        <rFont val="Calibri (Body)"/>
      </rPr>
      <t xml:space="preserve">: individual
</t>
    </r>
    <r>
      <rPr>
        <b/>
        <sz val="10"/>
        <color theme="1"/>
        <rFont val="Calibri (Body)"/>
      </rPr>
      <t>This is an indicator measuring progress towards durable solutions.</t>
    </r>
  </si>
  <si>
    <t>6.2.1</t>
  </si>
  <si>
    <t>6.2 Access to services for separated families and family reunification</t>
  </si>
  <si>
    <r>
      <rPr>
        <b/>
        <sz val="10"/>
        <color theme="1"/>
        <rFont val="Calibri (Body)"/>
      </rPr>
      <t>Unit of measurement</t>
    </r>
    <r>
      <rPr>
        <sz val="10"/>
        <color theme="1"/>
        <rFont val="Calibri (Body)"/>
      </rPr>
      <t xml:space="preserve">: Household
</t>
    </r>
    <r>
      <rPr>
        <b/>
        <sz val="10"/>
        <color theme="1"/>
        <rFont val="Calibri (Body)"/>
      </rPr>
      <t>This is an indicator measuring progress towards durable solutions.</t>
    </r>
  </si>
  <si>
    <t>7. Participation in public affairs</t>
  </si>
  <si>
    <t>7.1 Participation in political affairs</t>
  </si>
  <si>
    <t>Target population registered to vote</t>
  </si>
  <si>
    <t>Are you registered / or able to register to vote in national / local elections?</t>
  </si>
  <si>
    <r>
      <rPr>
        <b/>
        <sz val="10"/>
        <color theme="1"/>
        <rFont val="Calibri (Body)"/>
      </rPr>
      <t>Unit of measurement</t>
    </r>
    <r>
      <rPr>
        <sz val="10"/>
        <color theme="1"/>
        <rFont val="Calibri (Body)"/>
      </rPr>
      <t xml:space="preserve">: Individual
</t>
    </r>
    <r>
      <rPr>
        <b/>
        <sz val="10"/>
        <color theme="1"/>
        <rFont val="Calibri (Body)"/>
      </rPr>
      <t>This is an indicator measuring progress towards durable solutions.</t>
    </r>
    <r>
      <rPr>
        <sz val="10"/>
        <color theme="1"/>
        <rFont val="Calibri (Body)"/>
      </rPr>
      <t xml:space="preserve">
</t>
    </r>
  </si>
  <si>
    <t>Target population who are eligible to vote who voted in the last national/local election held - depending on election timing</t>
  </si>
  <si>
    <t xml:space="preserve">Did you vote in the last national / local election? </t>
  </si>
  <si>
    <t>Target population who did not vote in the last national/local election held by main reason</t>
  </si>
  <si>
    <r>
      <rPr>
        <b/>
        <sz val="10"/>
        <color theme="1"/>
        <rFont val="Calibri (Body)"/>
      </rPr>
      <t>Unit of measurement</t>
    </r>
    <r>
      <rPr>
        <sz val="10"/>
        <color theme="1"/>
        <rFont val="Calibri (Body)"/>
      </rPr>
      <t>: individual</t>
    </r>
  </si>
  <si>
    <t>Target population who believe decision-making is inclusive and responsive</t>
  </si>
  <si>
    <t>How often you think the government in [country]/local authorities today changes its planned policies in response to what most people think?
[Posed to a random member of the household]</t>
  </si>
  <si>
    <t>1. Never
2. Rarely
3. Sometimes
4. Often
5. Always</t>
  </si>
  <si>
    <r>
      <rPr>
        <b/>
        <sz val="10"/>
        <color theme="1"/>
        <rFont val="Calibri (Body)"/>
      </rPr>
      <t>Unit of measurement:</t>
    </r>
    <r>
      <rPr>
        <sz val="10"/>
        <color theme="1"/>
        <rFont val="Calibri (Body)"/>
      </rPr>
      <t xml:space="preserve"> individual
</t>
    </r>
    <r>
      <rPr>
        <b/>
        <sz val="10"/>
        <color theme="1"/>
        <rFont val="Calibri (Body)"/>
      </rPr>
      <t xml:space="preserve">SDG indicator 16.7.2 </t>
    </r>
    <r>
      <rPr>
        <sz val="10"/>
        <color theme="1"/>
        <rFont val="Calibri (Body)"/>
      </rPr>
      <t xml:space="preserve">Metadata available here: https://unstats.un.org/sdgs/metadata/files/Metadata-16-07-02.pdf.
</t>
    </r>
    <r>
      <rPr>
        <b/>
        <sz val="10"/>
        <color theme="1"/>
        <rFont val="Calibri (Body)"/>
      </rPr>
      <t>This is an indicator measuring progress towards durable solutions.</t>
    </r>
  </si>
  <si>
    <t>7.1.4.2</t>
  </si>
  <si>
    <t>How much do you trust the following institutions?
[Posed to a random member of the household]
1. [Country's] parliament [adapt if country does not have a parliamentary system]
2. Legal system
3. Police
4. Political parties
5. Politicians</t>
  </si>
  <si>
    <t>1. Not at all trust
2. Slightly trust
3. Somewhat trust 
4. Moderately trust 
5. Completely trust</t>
  </si>
  <si>
    <t>7.2 Participation in community and social affairs</t>
  </si>
  <si>
    <t>Population who actively participated in community, social, or political organizations in the last 6 months</t>
  </si>
  <si>
    <t>Have you  participated in community, social, or political organisations in the last 6 months?  [yes/no]</t>
  </si>
  <si>
    <t xml:space="preserve">List relevant types of oragnisations, e.g. worker's unions, community based organisations, volunteer organisations, culture/sport associations etc. Relevant to distinguish between IDP specific or mixed organisations. </t>
  </si>
  <si>
    <r>
      <rPr>
        <b/>
        <sz val="10"/>
        <color theme="1"/>
        <rFont val="Calibri (Body)"/>
      </rPr>
      <t>Unit of measurement:</t>
    </r>
    <r>
      <rPr>
        <sz val="10"/>
        <color theme="1"/>
        <rFont val="Calibri (Body)"/>
      </rPr>
      <t xml:space="preserve"> individual
</t>
    </r>
    <r>
      <rPr>
        <b/>
        <sz val="10"/>
        <color theme="1"/>
        <rFont val="Calibri (Body)"/>
      </rPr>
      <t>This is an indicator measuring progress towards durable solutions.</t>
    </r>
    <r>
      <rPr>
        <sz val="10"/>
        <color theme="1"/>
        <rFont val="Calibri (Body)"/>
      </rPr>
      <t xml:space="preserve">
</t>
    </r>
    <r>
      <rPr>
        <b/>
        <sz val="10"/>
        <color theme="1"/>
        <rFont val="Calibri (Body)"/>
      </rPr>
      <t>General comments:</t>
    </r>
    <r>
      <rPr>
        <sz val="10"/>
        <color theme="1"/>
        <rFont val="Calibri (Body)"/>
      </rPr>
      <t xml:space="preserve"> 
 'Actively participated' indicates attending meetings, events or otherwise being involved in the work of a group/organisation.
Community, social or political organisations may include: youth organisations,  women's organisations, environmental organisations, sports groups, pro-IDP advocacy groups, political parties and others</t>
    </r>
  </si>
  <si>
    <t>7.3 Participation in reconciliation and confidence-building initiatives</t>
  </si>
  <si>
    <t>Population involved in local reconciliation initiatives, confidence-building initiatives, or formal peace processes  in last 6 months - if relevant to context</t>
  </si>
  <si>
    <t xml:space="preserve">1. No, not at all
2. No, very little
3. Yes , a bit
4. Yes, a lot 
</t>
  </si>
  <si>
    <r>
      <rPr>
        <b/>
        <sz val="10"/>
        <color theme="1"/>
        <rFont val="Calibri (Body)"/>
      </rPr>
      <t>Unit of measurement</t>
    </r>
    <r>
      <rPr>
        <sz val="10"/>
        <color theme="1"/>
        <rFont val="Calibri (Body)"/>
      </rPr>
      <t xml:space="preserve">: individual
</t>
    </r>
    <r>
      <rPr>
        <b/>
        <sz val="10"/>
        <color theme="1"/>
        <rFont val="Calibri (Body)"/>
      </rPr>
      <t xml:space="preserve">
This is an indicator measuring progress towards durable solutions</t>
    </r>
  </si>
  <si>
    <t>8.1.1</t>
  </si>
  <si>
    <t>8. Access to remedies</t>
  </si>
  <si>
    <t>8.1 Use of mechanisms for effective remedies, incl. access to justice, reparations and information about the causes of violations</t>
  </si>
  <si>
    <t>Target population that is aware of[specific mechanism/s to provide remedies], (% of target population who needed mechanisms), according to context</t>
  </si>
  <si>
    <t>Are you aware of [indicate specific mechanism(s) in place]?</t>
  </si>
  <si>
    <t xml:space="preserve">1. Yes
2. no
3. don’t know
</t>
  </si>
  <si>
    <t>8.1.2</t>
  </si>
  <si>
    <t>Target population who accessed [specific mechanism/s to provide remedies], (% of target population who needed mechanisms), according to context</t>
  </si>
  <si>
    <t>Has any member in your household ever needed to file a claim to [indicate specific mechanism relevant in context]?
[if yes] Has any member in your household filed a claim to [indicate specific mechanism relevant in context]?</t>
  </si>
  <si>
    <r>
      <rPr>
        <b/>
        <sz val="10"/>
        <color theme="1"/>
        <rFont val="Calibri (Body)"/>
      </rPr>
      <t>Unit of measurement</t>
    </r>
    <r>
      <rPr>
        <sz val="10"/>
        <color theme="1"/>
        <rFont val="Calibri (Body)"/>
      </rPr>
      <t xml:space="preserve">: Household
</t>
    </r>
    <r>
      <rPr>
        <b/>
        <sz val="10"/>
        <color theme="1"/>
        <rFont val="Calibri (Body)"/>
      </rPr>
      <t>This is an indicator measuring progress towards durable solutions.</t>
    </r>
    <r>
      <rPr>
        <sz val="10"/>
        <color theme="1"/>
        <rFont val="Calibri (Body)"/>
      </rPr>
      <t xml:space="preserve">
Related to SDG indicator 16.3.3, metadata available here: https://unstats.un.org/sdgs/metadata/files/Metadata-16-03-03.pdf</t>
    </r>
  </si>
  <si>
    <t>8.1.3</t>
  </si>
  <si>
    <t>Target population who are satisfied with outcome of [specific mechanism/s to provide remedies] (% of target population who accessed mechanisms to provide remedies)</t>
  </si>
  <si>
    <t>[if having filed a claim] was the filed claim resolved?</t>
  </si>
  <si>
    <t>Research questions</t>
  </si>
  <si>
    <t>Data collection level</t>
  </si>
  <si>
    <t>Data collection method</t>
  </si>
  <si>
    <t>kobo code</t>
  </si>
  <si>
    <t>Questionnaire Question</t>
  </si>
  <si>
    <t>Instructions</t>
  </si>
  <si>
    <t>Questionnaire Responses</t>
  </si>
  <si>
    <t>Constraints/methodological notes/skip logic</t>
  </si>
  <si>
    <t>Test RM 11/04</t>
  </si>
  <si>
    <t>NA - demographic</t>
  </si>
  <si>
    <t>Household</t>
  </si>
  <si>
    <t>Household survey
(KOBO collect)</t>
  </si>
  <si>
    <t>Please specify your (enumerator) code:</t>
  </si>
  <si>
    <t>Select one</t>
  </si>
  <si>
    <t>List of enumerator codes</t>
  </si>
  <si>
    <t>Hi, my name is__   . I work for  REACH and we are currently trying to understand the provision of services related to water, sanitation and hygiene (WASH), health and education, in _ (specifiy Kebele). We would like to ask you some questions on demographics and displacement, movements of people, relations between returnees and host-community in this area, and the provision of services.
The survey will take about 40 minutes to complete. This is voluntary and you can choose not to answer any or all of the questions if you want; you may also choose to quit at any point. However, we hope that you will participate since your views are important. Responses are not directly tied to any form of humanitarian assistance and answers given in this interview will not directly affect any status as a beneficiary or non-beneficiary. The interview will be recorded and the recording will be deleted as soon as the data collection and analysis of the data has been concluded. 
Do you have any questions? Do you consent to participate in this interview?</t>
  </si>
  <si>
    <t>Yes
No</t>
  </si>
  <si>
    <t>If the respondent has declined consent please end the assessment and find another KI to interview</t>
  </si>
  <si>
    <t>Note
(End interview)</t>
  </si>
  <si>
    <t>If no other member of the HH is available, then end the interview</t>
  </si>
  <si>
    <t>Do you have a mobile telephone? If yes, please could we collect your phone number in case we have follow up questions?</t>
  </si>
  <si>
    <t>Select one and insert integer</t>
  </si>
  <si>
    <t>Yes (insert phone number, add number limit to ensure correct length of phone number)
No</t>
  </si>
  <si>
    <t>% of respondents that are the head of the household</t>
  </si>
  <si>
    <t>Are you the head of the household?</t>
  </si>
  <si>
    <t>TIGRAY ONLY: [pending sampling confirmation] if the respondent is not the HoHH and HoHH is not available, end interview</t>
  </si>
  <si>
    <t>% of households by demographic status of respondent by age</t>
  </si>
  <si>
    <t xml:space="preserve">If under 18, and no other relevant member of HH available, end survey. </t>
  </si>
  <si>
    <t>% of households by demographic status of head of household by age</t>
  </si>
  <si>
    <t>% of households by demographic status of head of household by gender</t>
  </si>
  <si>
    <t>If no to HoHH</t>
  </si>
  <si>
    <t>% of households by demographic status of respondent by marital status</t>
  </si>
  <si>
    <t>What is the marital status of the respondent?</t>
  </si>
  <si>
    <t>Select  one</t>
  </si>
  <si>
    <t>Married
Single
Widowed
Seperated/Divorced</t>
  </si>
  <si>
    <t>% of households by demographic status of respondent by gender</t>
  </si>
  <si>
    <t xml:space="preserve">What is the gender of the household head? </t>
  </si>
  <si>
    <t>If yes to HoHH</t>
  </si>
  <si>
    <t>% of households by demographic status of head of household by marital status</t>
  </si>
  <si>
    <t xml:space="preserve">Select one </t>
  </si>
  <si>
    <t>Married
Single
Widowed
Separated
Divorced</t>
  </si>
  <si>
    <t>% of respondents with formal education</t>
  </si>
  <si>
    <t>Do you have any formal education?</t>
  </si>
  <si>
    <t>Yes
No
Hard to say
Prefer not to answer</t>
  </si>
  <si>
    <t>Answer options not relevant</t>
  </si>
  <si>
    <t>% of respondents by occupational category</t>
  </si>
  <si>
    <t xml:space="preserve">What is your occupation? </t>
  </si>
  <si>
    <t>Farmer
Teacher
Health worker
Government worker (not teacher or health worker)
Private business/ company worker 
Labourer
Herder
Trader
Small shop/business owner
Religious leader
No occupation
Other (please specify)</t>
  </si>
  <si>
    <t>Other does not allow me to specify</t>
  </si>
  <si>
    <t>GPS coordinates</t>
  </si>
  <si>
    <t>Capture GPS coordinates</t>
  </si>
  <si>
    <t xml:space="preserve">% of households by size of household </t>
  </si>
  <si>
    <t>How many people reside in this household? (including the respondent)</t>
  </si>
  <si>
    <t>% of households displaced by displacement profile</t>
  </si>
  <si>
    <t>What is the displacement status of your household?</t>
  </si>
  <si>
    <t>Host HH
IDP HH
Returnee HH
HH hosting IDPs
HH hosting returnees
Refugee 
None of the above</t>
  </si>
  <si>
    <t>[If IDP] What is your woreda and region of origin?</t>
  </si>
  <si>
    <t>List of woredas and regions</t>
  </si>
  <si>
    <t>Only ask if answer to above question is IDP HH</t>
  </si>
  <si>
    <t>Only options are Tigray and Somali. Should be expanded?</t>
  </si>
  <si>
    <t>% of households displaced, by main reason for displacement</t>
  </si>
  <si>
    <t xml:space="preserve">What are the main reasons for your household leaving the place they  used to live in before displacement/the place of origin? </t>
  </si>
  <si>
    <t>Select multiple</t>
  </si>
  <si>
    <t>% of households displaced, by reason for choosing current place of settlement</t>
  </si>
  <si>
    <t>Security
Economic opportunities
Presence of family
Access to education
Access to healthcare
Pressence of humanitarian assistance
 Don't know
Prefer not to answer
 Other (please specify)</t>
  </si>
  <si>
    <t>% of households displaced, by intent to move in next 3 months</t>
  </si>
  <si>
    <t>Does your household/do you have concrete plans to move within the next 3 months?</t>
  </si>
  <si>
    <t>Yes
No
I am unable to confirm
Do not know</t>
  </si>
  <si>
    <t>% of households displaced, by planned location of move</t>
  </si>
  <si>
    <t>Where are you/your household planning to move?</t>
  </si>
  <si>
    <t>1. Different kebele within same woreda
2. Different woreda in same zone
3. Different zone in same region
3. Elsewhere in the country (not place of origin)
4. Place of origin
5. Abroad</t>
  </si>
  <si>
    <t>Only ask if answer to previous question is yes</t>
  </si>
  <si>
    <t>% of households displaced, by main reason for intended move</t>
  </si>
  <si>
    <t>What is the main reason for this planned move?</t>
  </si>
  <si>
    <t>HOUSEHOLD ROSTER</t>
  </si>
  <si>
    <t>What is his / her age?</t>
  </si>
  <si>
    <t>What is his / her gender?</t>
  </si>
  <si>
    <t>Male 
Female</t>
  </si>
  <si>
    <t>% of households member education statut</t>
  </si>
  <si>
    <t>What is educational status of household member?</t>
  </si>
  <si>
    <t xml:space="preserve">NA
Attending school
Enrolled but not attending school
Dropped out within two years
Dropped out before two years
</t>
  </si>
  <si>
    <t>Detailed questions to be asked on the education section for members that are 'Attending school',
'Enrolled but not attending school', 'Dropped out within Two years'</t>
  </si>
  <si>
    <t>% female household members current pregnant or lactating</t>
  </si>
  <si>
    <t>Are any of the female household members current pregnant or lactating?</t>
  </si>
  <si>
    <t>Yes (insert how many)
No</t>
  </si>
  <si>
    <t>Allows me to enter a higher number than the number of women aged 15-49 in the HH</t>
  </si>
  <si>
    <t>DISABILTY</t>
  </si>
  <si>
    <t>% of households with members experiencing difficulty seeing</t>
  </si>
  <si>
    <t xml:space="preserve">Do any members of your household have difficulty seeing, even if wearing glasses? </t>
  </si>
  <si>
    <t xml:space="preserve">No difficulty
Some difficulty
A lot of difficulty
Cannot do at all
Prefer to not answer
</t>
  </si>
  <si>
    <t>% of households with members experiencing difficulty hearing</t>
  </si>
  <si>
    <t xml:space="preserve">Do any members of your houshold have difficulty hearing, even if using a hearing aid(s)? </t>
  </si>
  <si>
    <t>% of households with members experiencing difficulty with mobility</t>
  </si>
  <si>
    <t>Do any members of your houshold have difficulty walking or climbing steps?</t>
  </si>
  <si>
    <t>% of households with members experiencing difficulty concentrating</t>
  </si>
  <si>
    <t>Do any members of your houshold have difficulty remembering or concentrating?</t>
  </si>
  <si>
    <t>% of households with members experiencing difficulty with self care</t>
  </si>
  <si>
    <t>Do any members of your household have difficulty with self-care, such as washing all over or dressing?</t>
  </si>
  <si>
    <t>% of households with members experiencing difficulty with communication</t>
  </si>
  <si>
    <t xml:space="preserve">Using your usual language, do any members of your houshold have difficulty
communicating, for example understanding or being understood? </t>
  </si>
  <si>
    <t>WASH</t>
  </si>
  <si>
    <t>1.	To understand which services are available to affected populations, where they are located, and how they are accessed.
a.	Which services are available in the study area?</t>
  </si>
  <si>
    <t>% og households by main drinking water source</t>
  </si>
  <si>
    <t xml:space="preserve">Piped connection to house (or neighbor's house)
Borehole manual
Borehole motorized extraction
Water kiosk
Public tap/Stand pipe
Piped system (fixed to distribution line)
Water trucking
Storage tank (related to distribution point)
Protected well (sealed, not only covered in sticks)
Unprotected well
Protected spring
Unprotected spring
Other (specify)
Do not know
Prefer not to answer
</t>
  </si>
  <si>
    <t>% og households by main water source for household use</t>
  </si>
  <si>
    <t>What is the main source of water for cooking, bathing and cleaning for your HH?</t>
  </si>
  <si>
    <t xml:space="preserve">Borehole manual
Borehole motorized extraction
Water kiosk
Public tap/Stand pipe
Piped system (fixed to distribution line)
Water trucking
Storage tank (related to distribution point)
Protected well (sealed, not only covered in sticks)
Unprotected well
Protected spring
Unprotected spring
Other (specify)
Do not know
Prefer not to answer
</t>
  </si>
  <si>
    <t xml:space="preserve">1.	To understand which services are available to affected populations, where they are located, and how they are accessed.
b.	Where are those services located? </t>
  </si>
  <si>
    <t>% of households by location of main drinking water source</t>
  </si>
  <si>
    <t>Where is your drinking water source located?</t>
  </si>
  <si>
    <t>1 In own dwelling 
2. In own yard/ plot
3. Within kebele
4. Outside the kebele
4. Elsewhere (specify)</t>
  </si>
  <si>
    <t>I put that my main water source was to my house/neighbours house but it also allows me to select that my main drinking water source is outside of the kebelle</t>
  </si>
  <si>
    <t>1. What are the locations of key health, education and WASH and market infrastructure located in this area?
C) How do populations access the services (who, cost, travel time etc)</t>
  </si>
  <si>
    <t>% of households by time taken to travel to water source</t>
  </si>
  <si>
    <t xml:space="preserve">How long does it take for members of your household to go to the location of drinking water source? </t>
  </si>
  <si>
    <t>Select one with range</t>
  </si>
  <si>
    <t>Water on premises 
Less than 5 min to fetch and return 
Between 5 and 15 min to fetch and return 
Between 16 and 30 min to fetch and return
More than 31min to fetch and return 
Don’t know</t>
  </si>
  <si>
    <t>Only ask if answer to above question is not in dwelling or yard</t>
  </si>
  <si>
    <t>% of households by time taken to travel to water source and return home</t>
  </si>
  <si>
    <t>How long does it take for members of your household to go to the location of drinking water source , get water (including waiting time), and come back?</t>
  </si>
  <si>
    <t>If I say that I have water on premises for previous question I should not be able to give a different answer here</t>
  </si>
  <si>
    <t xml:space="preserve">1.	To understand which services are available to affected populations, where they are located, and how they are accessed.
d.	Who provides these services? Government, the private sector, the NGO/humanitarian sector? </t>
  </si>
  <si>
    <t>% oh households using water point under specific ownership</t>
  </si>
  <si>
    <t>Who owns this water point?</t>
  </si>
  <si>
    <t xml:space="preserve">Select one
</t>
  </si>
  <si>
    <t>Community
Private owner
School
Health facility
Formalised water provider 
Non governmental organisations
Other (specify)
Do not know
I prefer not to answer</t>
  </si>
  <si>
    <t xml:space="preserve">Notes: (Ask only if th e source of water is not on premises)
</t>
  </si>
  <si>
    <t>2.	To identify which services are unavailable but are priorities for  affected populations.
a.	To what extent do households have access to functional education, health and nutrition, and WASH services?</t>
  </si>
  <si>
    <t>% of households using a functional drinking water source</t>
  </si>
  <si>
    <t>Is the water source you use for drinking functional?</t>
  </si>
  <si>
    <t>Yes
No
Partially
I am unable to confirm
Do not know</t>
  </si>
  <si>
    <t xml:space="preserve">Relate this answer to the water source the respondent selected as their main drinking water source </t>
  </si>
  <si>
    <t>% of households using a non or partially functional water source, by reason for non functionality</t>
  </si>
  <si>
    <t>If no, or partially, why?</t>
  </si>
  <si>
    <t>Damaged during conflict
Damaged during flooding
Damaged due to drought
Damaged due to landslide
Damaged due to normal usage 
Other (specify)
Do not know
Prefer not to answer</t>
  </si>
  <si>
    <t xml:space="preserve">% of households using a non or partially functional water source, by time for non functionality </t>
  </si>
  <si>
    <t>If no, or partially, how long has it been non- or partially functional for?</t>
  </si>
  <si>
    <t xml:space="preserve">0 - 1 month
2 -3 months
4 - 6 months
6 months or more
</t>
  </si>
  <si>
    <t>2.To identify which services are unavailable but are priorities for  affected populations.
E) What are the positive and negative alternatives that individuals employ to overcome gaps or barriers in accessing services, and what are the outcomes of these practices?</t>
  </si>
  <si>
    <t xml:space="preserve">% of households using a non or partially functional water source, by alternative water source </t>
  </si>
  <si>
    <t>When the waterpoint is broken or not functioning, where do you and your household get your water from?</t>
  </si>
  <si>
    <t>Select  multiple</t>
  </si>
  <si>
    <t>From other source within the kebele (if within, please record the name/GPS point (TBD))
From other source outside the kebele but nearby
From a far kebele within the woreda
From a far kebele outside the woreda
Not applicable, the waterpoint is always working
Other (specify)
Do not know
Prefer not to answer</t>
  </si>
  <si>
    <t>I should not be able to say that the water point is always working if I said about that it is partially or non funtional</t>
  </si>
  <si>
    <t>3.To understand which barriers prevent affected populations and/or vulnerable groups  (notably people affected by crisis, but also other vulnerable sub groups like people with disabilities, unaccompanied minors, IDPs female headed households, elderly headed households, returnees) from accessing certain services.
A) Which barriers are reported by affected populations to prevent access to services (physical barriers, financial, environmental, conflict, climate, etc.)?</t>
  </si>
  <si>
    <t xml:space="preserve">% of households citing a specific reason for a lack of accesibility </t>
  </si>
  <si>
    <t xml:space="preserve">Why is it not accessible to everyone?
</t>
  </si>
  <si>
    <t xml:space="preserve">Select multiple
</t>
  </si>
  <si>
    <t xml:space="preserve">
Belongs to an institution (school, hospital, clinic etc)
Requires payment /membership
Not physically accesible for all (disabled people unable to reach)
Fear of safety/security
Other (specify)</t>
  </si>
  <si>
    <t>Skip logic
Ask if selected "no" in question above</t>
  </si>
  <si>
    <t>% of households citing a specific challenge in accessing water in the past 3 months</t>
  </si>
  <si>
    <t xml:space="preserve">If any, in the past 3 months, what is the most frequent challenge you and/or members of your HH faced to access water? </t>
  </si>
  <si>
    <t>We are not allowed to access water due to limited water availability 
 The water source is physically damaged
Water source not producing water
Water at the source is not clean (poor water quality)
Water source is under maintenance
None - the HH can always access water
Water not accessible due to conflict or violence
Water not accesible due to long waiting times
Water not accesible due to long distance
Water not accessible due to discrimination based on economic status
Water not accessible due to discrimination based on IDP status
Water not accessible due to discrimination based on disability
Don't know,
Don't want to answer
Other (specify)</t>
  </si>
  <si>
    <t xml:space="preserve">% of households adopting a specific water shortage strategy </t>
  </si>
  <si>
    <t>Only ask if answer to sufficient drinking water is yes at least once</t>
  </si>
  <si>
    <t>Should we change this to select multiple?</t>
  </si>
  <si>
    <t>% of households reporting seasonal variation in water access</t>
  </si>
  <si>
    <t>Is the availability of water and amount of water your household is able to access different during different seasons of the year?</t>
  </si>
  <si>
    <t>Yes
No
Do not know</t>
  </si>
  <si>
    <t xml:space="preserve">% of households reporting seasonal variation in water access, by month </t>
  </si>
  <si>
    <t>During which months does your household find it most challenging to access water?</t>
  </si>
  <si>
    <t>List all months (according to Ethiopian calendar)</t>
  </si>
  <si>
    <t>If yes to the previous question</t>
  </si>
  <si>
    <t>2.To identify which services are unavailable but are priorities for  affected populations.
A) To what extent do households have access to functional education, health and nutrition, and WASH services?</t>
  </si>
  <si>
    <t>% of households reporting quota limitations to water</t>
  </si>
  <si>
    <t>Is there a quota limitation to access water?</t>
  </si>
  <si>
    <t>Ask if water source selected is public tap</t>
  </si>
  <si>
    <t>% of households reporting a qouta limitation, by number of jerrycans</t>
  </si>
  <si>
    <t>How many jerrycan (10L) are you allowed to get for your household in a day?</t>
  </si>
  <si>
    <t xml:space="preserve">Integer </t>
  </si>
  <si>
    <t>% of households reporting challenges in accessing water, by household member</t>
  </si>
  <si>
    <t>If any, which members of your household find it more difficult to access or collect water compared to others?</t>
  </si>
  <si>
    <t>Boys 
Girls
Men
Women
Elderly people
People with disabilities
None, we all have equal access
Other (please specify)
Do not know
Prefer not to answer</t>
  </si>
  <si>
    <t>Constraint: don't know and prefer not to answer can't be selected with any other option.
Skip logic: Ask if selected "yes" in question above</t>
  </si>
  <si>
    <t>% of households reporting challenges in accessing water, by household member type</t>
  </si>
  <si>
    <t>Why do they (boys) find it more difficult?</t>
  </si>
  <si>
    <t>It is physically difficult for them to reach the water source (e.g., due to walking distance or hilly terrain)
Due to a physical disability they cannot easily access the water source 
They do not feel safe accesing the water source
They face discrimination due to their disabilty
They face discrimination due to their age
They face discrimination due to their gender
People restrict their access to water because they do not see them as a priority for water access
Other (specify)</t>
  </si>
  <si>
    <t>Skip logic: ask if any answer other than 'other, do not know or prefer not to answer' is given to previous question</t>
  </si>
  <si>
    <t>We should repeat this on a loop for every group selected in the previous question, otherwise we won't know which people experience which challenges</t>
  </si>
  <si>
    <t>1. What are the locations of key health, education and WASH and market infrastructure located in this area?
C) How to populations access the services (who, cost, travel time etc)</t>
  </si>
  <si>
    <t>% of households paying for water</t>
  </si>
  <si>
    <t>Do you or your household pay for water?</t>
  </si>
  <si>
    <t>Yes 
No
Do not know</t>
  </si>
  <si>
    <t>Average spend on water per month</t>
  </si>
  <si>
    <t>If yes, how much on average do you spend on water, per month?</t>
  </si>
  <si>
    <t>Intiger</t>
  </si>
  <si>
    <t>Put a limit on this number</t>
  </si>
  <si>
    <t>% of households using a specific alternative water treatment method</t>
  </si>
  <si>
    <t xml:space="preserve">How does your household treat the water you use for drinking? </t>
  </si>
  <si>
    <t>Water treatment tablets
Water treatment chemicals
Boil water
Filtering the water using clothes or other
Store the water so that it can settle
Use leaves like moringa 
None - we drink untreated water
None - we go without water
Other (specify)
Do not know</t>
  </si>
  <si>
    <t>Change to select multiple</t>
  </si>
  <si>
    <t>4.3.	To understand which barriers prevent affected populations and/or vulnerable groups  from accessing certain services.
a.	Which barriers are reported by affected populations to prevent access to services (physical barriers, financial, environmental, conflict, climate, etc.)?</t>
  </si>
  <si>
    <t>% of households reporting feeling unsafe when accessing a public water source</t>
  </si>
  <si>
    <t>In the last 12 months, have you or a member of your household  felt unsafe when accessing a public water source?</t>
  </si>
  <si>
    <t>Yes (please specify why you felt unsafe)
No
Do not know</t>
  </si>
  <si>
    <t>We can remove pls specify why you felt unsafe as the next question asks it</t>
  </si>
  <si>
    <t>% of households reporting feeling unsafe when accessing a public water source, by reason for feeling unsafe</t>
  </si>
  <si>
    <t>What made you, or them, feel unsafe?</t>
  </si>
  <si>
    <t xml:space="preserve">Area around public water source is unsafe
Fear of discrimination due to being IDP
Fear of discrimination due to being disabled
Fear of discrimination due to being a woman
Fear of assault due to being IDP
Fear of assault due to being disabled
Fear of assault due to being a woman
Other (specify)
</t>
  </si>
  <si>
    <t xml:space="preserve">2.	To identify which services are unavailable but are priorities for  affected populations.
c.	What type or level of information do most households have or not have, and what information do they want about available or unavailable services? Additionally, how would they prefer to receive this information? </t>
  </si>
  <si>
    <t>% of households  perceiving themselves as informed about water services</t>
  </si>
  <si>
    <t>How informed do you think you and the members of your household are about the availabilty water and services in your locality?</t>
  </si>
  <si>
    <t>Well informed
Somewhat informed
Not informed
Prefer not to answer</t>
  </si>
  <si>
    <t>% of households citing a specific reason for perceiving water service  information as inaccurate or only somewhat accurate</t>
  </si>
  <si>
    <t>If no, or only somewhat, why?</t>
  </si>
  <si>
    <t>There is no information
Services 'advertised' that were not actually there 
Services not 'advertised' that actually are there
Lack of detailed information about how to access it
It was not clear who the services are for
Other (specify)</t>
  </si>
  <si>
    <t xml:space="preserve">% of households by water service information source </t>
  </si>
  <si>
    <t>How do you receive information about water services in your locality?</t>
  </si>
  <si>
    <t>Health extension workers
Water board or water service provider
Local government 
Community leaders (specify who)
Other community members
NGOs
No information received
Other (please specify)</t>
  </si>
  <si>
    <t>Add option to say 'none' (because the respondent may have already said that they do not receive any info)</t>
  </si>
  <si>
    <t>% of households indicating their preffered method of water service information</t>
  </si>
  <si>
    <t>How would you like to receive information about water in your locality in the future?</t>
  </si>
  <si>
    <t>Health extension workers
Water board or water service provider
Local government 
Community leaders (specify who)
Other community members
NGOs
Other (please specify)</t>
  </si>
  <si>
    <t>2.	To identify which services are unavailable but are priorities for  affected populations.
b.	Which services are prioritised to be improved by affected populations?</t>
  </si>
  <si>
    <t>% of households mentioning a specific area of water service improvement as the first priority</t>
  </si>
  <si>
    <t xml:space="preserve">What would be the first most important improvement needed in water service in the kebele? </t>
  </si>
  <si>
    <t>Improvement in accessibilty for households
Improvement in accessiblity for specific groups (like IDPs, people with disabilities)
Improvement in availability of water
Improvement in affordability of water
Improvement in quality of water
Improvement in functionality of water facilities (maintenance and repair)
other (please specify)</t>
  </si>
  <si>
    <t>% of households mentioning a specific area of water service improvement as the second priority</t>
  </si>
  <si>
    <t>What would be the second most important improvement needed in water service in the kebele?</t>
  </si>
  <si>
    <t>Improvment in accessibilty for households
Improvement in accessiblity for specific groups (like IDPs, people with disabilities)
Improvement in availability of water
Improvement in affordability of water
Improvement in quality of water
Improvement in functionality of water facilities (maintenance and repair)
other (please specify)</t>
  </si>
  <si>
    <t>% of households mentioning a specific area of water servi e improvement as the third priority</t>
  </si>
  <si>
    <t>What would be the third most important improvement needed in water service in the kebele?</t>
  </si>
  <si>
    <t>% of households accessing a specific type of health facility</t>
  </si>
  <si>
    <t>Please select (tick) every type of health facility that your HH commonly accessed over the past 12 months</t>
  </si>
  <si>
    <t>Health post
Health centre
Hospital
Pharmacy
Dispensary
Mobile clinics
Household has no access to any healthcare facilities
Other (specify)</t>
  </si>
  <si>
    <t>Loop the below for every facility type selected</t>
  </si>
  <si>
    <t>Change question to 'please tick every type of health facility that your HH commonly accessed over the past 12 months'</t>
  </si>
  <si>
    <t>% of households reporting services are currently operational</t>
  </si>
  <si>
    <t>Are any services currently operating from this facility?</t>
  </si>
  <si>
    <t>Yes (full functionality)
Yes (partial functionality)
No
Do not know
Prefer not to answer</t>
  </si>
  <si>
    <t>START LOOP</t>
  </si>
  <si>
    <t>% of households citing a specific reason for partial or non-functionality</t>
  </si>
  <si>
    <t>If partial or not functionality, why?</t>
  </si>
  <si>
    <t>Damaged during conflict
Damaged during flooding
Damaged due to normal usage 
Lack of staff at the facility
Lack of medicines at the facility
Lack of adequate services at the facility 
Other (specify)
Do not know
Prefer not to answer</t>
  </si>
  <si>
    <t>% of households reporting specific services available at the facility</t>
  </si>
  <si>
    <t>Which health services are available at this facility?</t>
  </si>
  <si>
    <t xml:space="preserve">Emergency services
Pediatric services
In patient services
Out patient services
Nutrition services
Vaccination services
Maternal health services
Surgery
Pharmacy
TB treatment
Mental health and psychosocial support
Physical disability services (including follow up and physiotherapy)
Non-communicable diseases (diabetes, asthma,hypertension)
Reproductive health services
HIV/AIDS treatment
SGBV services
Referral services
Other specify
Do not know
Prefer not to answer
</t>
  </si>
  <si>
    <t>Skip logic: only ask if facility is fully or partially functional</t>
  </si>
  <si>
    <t>Answer options on Kobo are different</t>
  </si>
  <si>
    <t>% of households by location of health facility</t>
  </si>
  <si>
    <t>Where is this health facility located?</t>
  </si>
  <si>
    <t>Within the kebele (if within, please record the name/GPS point (TBD))
Outside the kebele but nearby
Far from the kebele within the woreda
Far from the kebele outside the woreda
 Far from the kebele in the zonal town
Service was not accessed
Don't know
Prefer not to answer
Other (please specify)</t>
  </si>
  <si>
    <t xml:space="preserve">Remove GPS point from first answer, just name. I don’t think people will be able to find it on open street map but I might be wrong. I could not find Berano labelled
remove service was not accessed because they will only answer this if they accessed </t>
  </si>
  <si>
    <t>3.	To understand which barriers prevent affected populations and/or vulnerable groups  (notably people affected by crisis, but also other vulnerable sub groups like people with disabilities, unaccompanied minors, IDPs female headed households, elderly headed households, returnees) from accessing certain services.
a.	Which barriers are reported by affected populations to prevent access to services (physical barriers, financial, environmental, conflict, climate, etc.)?</t>
  </si>
  <si>
    <t>% of households citing a specific reason for not accessing services within the kebele</t>
  </si>
  <si>
    <t>If located out of kebele, why were you not able to access and get service in a health facility within the kebele?</t>
  </si>
  <si>
    <t>This health facility includes our kebele as a catchment area
Health facilitiy within kebele not functional/available
No relevant health care service available in kebele
Would not be able to cover the costs
Transportation too expensive
No/bad transportation options
It is not safe to go there
Expect low quality service/ no qualified personnel
Shortage of medical equipment
Overcrowded facilities
Treated poorly or made uncomfortable by service providers /discrimination
No female doctor/healthcare provider available
No insurance 
Refused service by health care providers (due to lack of required documents)
Other (please specify)</t>
  </si>
  <si>
    <t>remove transportation answer options. People would have less far to travel if they were going within their Kebele</t>
  </si>
  <si>
    <t>1.	To understand which services are available to affected populations, where they are located, and how they are accessed.
c.	How do populations access health, education and WASH services (who, cost, travel time, etc.)?</t>
  </si>
  <si>
    <t>% of households by time taken to travel to health facility</t>
  </si>
  <si>
    <t>How long does it take for members of your household to travel to this health facility</t>
  </si>
  <si>
    <t>Less than 30 minutes
30 minutes to 1 hour
1 hour to half a day
More than half a day
Don't know
 Prefer not to answer</t>
  </si>
  <si>
    <t>1.	To understand which services are available to affected populations, where they are located, and how they are accessed.
d.	Who provides these services? Government, the private sector, the NGO/humanitarian sector?</t>
  </si>
  <si>
    <t>% of health facilities under a specific ownership category</t>
  </si>
  <si>
    <t>Who owns this health facility ?</t>
  </si>
  <si>
    <t>Community
Private owner
Government 
Non governmental organisation
Other (specify)
Do not know 
Prefer not to answer</t>
  </si>
  <si>
    <t>END LOOP</t>
  </si>
  <si>
    <t xml:space="preserve">% of households reporting ambulatory service in locality </t>
  </si>
  <si>
    <t>Is there an ambulance service accessible to households during emergency in your kebele?</t>
  </si>
  <si>
    <t>Yes
No
Do not know
I prefer not to answer</t>
  </si>
  <si>
    <t>% of households requiring assistance for a specific health problem in the last 12 months</t>
  </si>
  <si>
    <t>In the past 12 months, have you or anyone in your household had a health need for which they required assistance (regardless of whether assistance was recevied?)</t>
  </si>
  <si>
    <t xml:space="preserve">% of households requiring a specific type of health service </t>
  </si>
  <si>
    <t>Only ask if answer to above question is yes
Initiate the loop below for every type of service selected (assuming that the respondant has more than one example to give)
START LOOP</t>
  </si>
  <si>
    <t>% of households accessing care based on need</t>
  </si>
  <si>
    <t>Did you or your household member(s) access the care that was needed?</t>
  </si>
  <si>
    <t xml:space="preserve">Yes
Partially
No
</t>
  </si>
  <si>
    <t>% of households with unmet need for a specific type of healthcare service</t>
  </si>
  <si>
    <t>Which service(s) were you not able to, or did not, access?</t>
  </si>
  <si>
    <t>Limit the answer options to those ticked in cell G79 (asking which servies were required)</t>
  </si>
  <si>
    <t>% of households able to reach the facility to access care</t>
  </si>
  <si>
    <t>Were you, or they, able to reach to the facility in order to request care?</t>
  </si>
  <si>
    <t xml:space="preserve">No - did not go or was not able to get there
Yes - attended the facility but need were not met
</t>
  </si>
  <si>
    <t>%  of  households attending a specific healthcare facility</t>
  </si>
  <si>
    <t>Which healthcare facility was attended?</t>
  </si>
  <si>
    <t>Name (from list of available health facilities)</t>
  </si>
  <si>
    <t>This option does not appear when I say that I accessed care</t>
  </si>
  <si>
    <t>% of households citing a specific reason for unmet healthcare needs</t>
  </si>
  <si>
    <t>If you or they attended the facilty, why were the needs not met?</t>
  </si>
  <si>
    <t>Did go but they did not have the medicine needed
Did go but they did not have the equipment needed to treat the condition (specify)
Did go but the facility was overcrowded meaning 
Did go but I was treated poorly or made uncomfortable by service providers /discrimination 
Did go but there was no female doctor/healthcare provider available
Did go but was refused care due to lack of insurance
Did go but was refused service by health care providers for other reason (specify)
Discrimination by service provider due to disability
Unable to discuss a disability-specific health problem due to embarrasent/discomfort
Service provider not able to help  with a disability specifc health issue (please specifiy)
Other (specify)
[If IDP HH or hosting IDPs]
- Discrimination by service providers due to IDP status
-  Refused service by health care providers (due to lack of required documents)</t>
  </si>
  <si>
    <t>This question should only appear if you answerered that you attended a facility but your needs were not met (cell G82)</t>
  </si>
  <si>
    <t>% of households citing a specific reason for not accessing healthcare facility</t>
  </si>
  <si>
    <t>If you or they did not go or were not able to get there, why not?</t>
  </si>
  <si>
    <t xml:space="preserve">There is no relevant health care service available. 
Did not know where to go
Not be able to cover the costs 
Transportation is too expensive
No viable transportation options
It is not safe to go there
Expection of low quality service/ no qualified personnel
Fear of being treated poorly or made uncomfortable by service providers /discrimination 
It was not clear if there would be a female doctor/ healthcare provider there
Do not have insurance
Did not go for fear of discrimination by service provider due to disability
Unable to discuss a disability specific health problem due to embarrasent/discomfort
Service provider not able to help with a disability-specifc health issue (please specifiy)
Other (specify)
[If IDP HH or hosting IDPs]
- Fear of discrimination by service providers due to IDP status
-  Fear of being refused service by health care providers (due to lack of required documents)
</t>
  </si>
  <si>
    <t>This question should only appear if you answered that you did not seek care (cell G82)</t>
  </si>
  <si>
    <t>% of households paying for healthcare</t>
  </si>
  <si>
    <t>Have you or any members of your household had to pay for healthcare in the last 12 months</t>
  </si>
  <si>
    <t>Yes
 No
Don't know,
Prefer not to answer</t>
  </si>
  <si>
    <t>Change the question to 'have you or any members of your household had to pay for healthcare in the last 12 months'</t>
  </si>
  <si>
    <t xml:space="preserve">% of households paying for healthcare, by service </t>
  </si>
  <si>
    <t>If so, for which service?</t>
  </si>
  <si>
    <t>Consultation
Laboratory
Medicine 
Admission/bed
Minor procedure (like wound care, minor stitches)
Other (specify)</t>
  </si>
  <si>
    <t>Only ask if answer to above question is Yes</t>
  </si>
  <si>
    <t xml:space="preserve">% of households paying for healthcare, by payment type </t>
  </si>
  <si>
    <t>How did you and the members of your household pay for healthcare the last time you accessed healthcare services?</t>
  </si>
  <si>
    <t>Community based health insurance
Self payment
Private health insurance
Other (please specify)</t>
  </si>
  <si>
    <t>Average households paying for healthcare, by cost of service</t>
  </si>
  <si>
    <t>If you have had to pay for healthcare, how much did it cost?</t>
  </si>
  <si>
    <t>Limit number</t>
  </si>
  <si>
    <t>% of households that are beneficiaries of community-based health insurance</t>
  </si>
  <si>
    <t>Is your household a beneficiary of community based health insurance (CBHI)?</t>
  </si>
  <si>
    <t>% of  households utilizing a specific alternative mechanism for free health services</t>
  </si>
  <si>
    <t>Are there other (other than CBHI) ways of obtaining free health services?</t>
  </si>
  <si>
    <t>% of  households utilizing a specific alternative mechanism for free health services, by mechanism type</t>
  </si>
  <si>
    <t>If yes, what are the other mechanisms of obtaining free health services?</t>
  </si>
  <si>
    <t>select multiple</t>
  </si>
  <si>
    <t>Nationally provided free services (HIV/AIDS, TB, ANC followup and delivery)
Getting service with a support letter from woreda or kebele admin 
Exemption of payment for veterans/families of vetrans
Exemption of payment for IDPs
Other (please specify)</t>
  </si>
  <si>
    <t>To understand which barriers prevent affected populations and/or vulnerable groups  (notably people affected by crisis, but also other vulnerable sub groups like people with disabilities, unaccompanied minors, IDPs female headed households, elderly headed households, returnees) from accessing certain services.</t>
  </si>
  <si>
    <t>% of households facing a specific barrier for people with disabilities’ healthcare access</t>
  </si>
  <si>
    <t>If anything, what makes it difficult for people with disabilities to access healthcare services?</t>
  </si>
  <si>
    <t>Service providers discriminate against people with disabilities
It is not possible or comfortable to discuss disability-specific health problems due to stigma or taboos
Service providers are not able to help with disability specifc health issue (please specifiy)</t>
  </si>
  <si>
    <t>Change question to 'if anything, what makes it difficult for people with disabilities to access healthcare services' and add an option for 'nothing, people with disabailities have the same level of access to healthcare as others'</t>
  </si>
  <si>
    <t>% of households facing a specific barrier for IDPs’ healthcare access</t>
  </si>
  <si>
    <t>If anything, what makes it difficult for IDPs to access healthcare services?</t>
  </si>
  <si>
    <t>Facilities do not accept IDP due to capacity shortage
Facilities do not accept IDP due to policy
It is not safe to go there
Treated poorly or made uncomfortable by service providers /discrimination,
Treated poorly or made uncomfortable by other users of the service/discrimination,
Didn't know where to go
No insurance
Refused service by health care providers (due to lack of required documents),
Refused service by health care providers for other reason
Other (please specify)</t>
  </si>
  <si>
    <t>Change question to 'if anything, what makes it difficult for IDPs to access healthcare services' and add an option for 'nothing, IDPs have the same level of access to healthcare as others'</t>
  </si>
  <si>
    <t xml:space="preserve">Which vulnerable groups are more likely to face decreased access to services? Why are they facing decreased access?  </t>
  </si>
  <si>
    <t>% f households indicating availability of mental health services</t>
  </si>
  <si>
    <t>Is there mental health care/treatment service available in your kebele?</t>
  </si>
  <si>
    <t>Yes
No
I don’t know
I don’t want to answer</t>
  </si>
  <si>
    <t>What type or level of information do most households have or not have, and what information do they want about available or unavailable services? Additionally, how would they prefer to receive this information? (aiming to incorporate some Accountability to Affected Populations [AAP] components for more effective intervention planning)</t>
  </si>
  <si>
    <t>% of households  perceiving themselves as informed about health services</t>
  </si>
  <si>
    <t>How informed do you think you and the members of your household are about the availabilty healthcare in your locality?</t>
  </si>
  <si>
    <t>% of households citing a specific reason for perceiving health service information as inaccurate or only somewhat accurate</t>
  </si>
  <si>
    <t>Should not be able to say 'no information' as well as ticking other boxes</t>
  </si>
  <si>
    <t xml:space="preserve">% of households by health service information source </t>
  </si>
  <si>
    <t>How do you receive information about healthcare in your locality?</t>
  </si>
  <si>
    <t>Health extension workers
Health facility promotional materials
Local government 
Community leaders (specify who)
Other community members
NGOs
No information received
Other (please specify)</t>
  </si>
  <si>
    <t>Do not ask if they have said that there is no information</t>
  </si>
  <si>
    <t>% of households indicating their preffered method of health service information</t>
  </si>
  <si>
    <t>How would you like to receive information about healthcare in your locality in the future?</t>
  </si>
  <si>
    <t>Health extension workers
Health facility promotional materials
Local government 
Community leaders (specify who)
Other community members
NGOs
Other (please specify)</t>
  </si>
  <si>
    <t>% of households mentioning a specific area of health service improvement as the first priority</t>
  </si>
  <si>
    <t>What would be the first most important improvement needed in healthcare services in the kebele?</t>
  </si>
  <si>
    <t>select one</t>
  </si>
  <si>
    <t>Expansion of services offered (specify), 
Expansion of operating hours
Increased maintenance 
Increased number of facilities offering these services
More staff
Different staff (female staff)
Different staff (staff who understand disabilities)
Different staff (staff who understand specific conditions) - please specify
Better information about the services offered</t>
  </si>
  <si>
    <t>Specify does not appear if I select 'expansion of services offered'
Should not be able to give the same answer for these three questions</t>
  </si>
  <si>
    <t>% of households mentioning a specific area of health service  improvement as the second priority</t>
  </si>
  <si>
    <t>What would be the second most important improvement needed in healthcare services in the kebele?</t>
  </si>
  <si>
    <t>% of households mentioning a specific area of health service  improvement as the third priority</t>
  </si>
  <si>
    <t>What would be the third most important improvement needed in healthcare services in the kebele?</t>
  </si>
  <si>
    <t xml:space="preserve">*to read to respondent* We would like to know your experience regarding some specific health and nutrition related topics.  </t>
  </si>
  <si>
    <t>% of households requiring nutrition services in the last 3 months</t>
  </si>
  <si>
    <t>Has your household required nutrition services in the past three months?</t>
  </si>
  <si>
    <t>Yes
Do not know
I prefer not to answer</t>
  </si>
  <si>
    <t>% of households able to obtain nutrition service from nearest facility</t>
  </si>
  <si>
    <t>If yes, were you or the member(s) of your household able to obtain the required nutrition service from the nearest functional primary healthcare facility?</t>
  </si>
  <si>
    <t>% of households able to obtain nutrition service from nearest facility, by service type</t>
  </si>
  <si>
    <t>If yes, which services were accessed?</t>
  </si>
  <si>
    <t>Nutrition education and counselling
Growth promotion and monitoring
Demonstration on complementary feeding
Nutrition for Pregnant and lactatiing women (plumpy Nut, CSB++)
Nutrition services with Plumpy NUT for chronic illness (HIV/AIDS, TB)
weekly/Bi-weekly out-patient treatment with Plumpy-Nut for children
In-patient nutrition rehabilitation services for children (F-75,F-100)
other</t>
  </si>
  <si>
    <t>% of households accessing a specific type of education facility, by household member</t>
  </si>
  <si>
    <t>What level of education facility does (specific HH member) attend?</t>
  </si>
  <si>
    <t xml:space="preserve">Early childhood development facility
Primary school
Secondary school
Vocational training centre
Alternative basic education (ABE)
Prepatory school
College
University
Other (specify)
Do not know
Prefer not to answer
</t>
  </si>
  <si>
    <t xml:space="preserve">this question should be looped with household roster and repeated for each of the household members reported to be 'attending' </t>
  </si>
  <si>
    <t>% of households by location of education facility</t>
  </si>
  <si>
    <t>Where is this education facility located?</t>
  </si>
  <si>
    <t>Within the kebele (if within, please record the name/GPS point)
Outside the kebele but nearby
Far from the kebele within the woreda
Far from the kebele outside the woreda
 Far from the kebele in the zonal town
Children not attending school
Don't know
Prefer not to answer
Other (please specify)</t>
  </si>
  <si>
    <t xml:space="preserve">this question should be looped with household roster and repeated for each of the household members reported to be  'attending' </t>
  </si>
  <si>
    <t>remove GPS point, name only</t>
  </si>
  <si>
    <t>1.	To understand which services are available to affected populations, where they are located, and how they are accessed.
d.	Who provides these services? Government, the private sector, the NGO/humanitarian sector? How do these actors interact and work together?</t>
  </si>
  <si>
    <t>% of education facilities under a specific ownership category</t>
  </si>
  <si>
    <t>Who owns or supports this education facility?</t>
  </si>
  <si>
    <t>% of households reporting services are currently functional at education facility</t>
  </si>
  <si>
    <t>What is the functionality status of the education facility?</t>
  </si>
  <si>
    <t>Answer options not applicable. Should be 'full functionality, partial functionality, no functionality, do not know, prefer not to answer'</t>
  </si>
  <si>
    <t>% of households citing a specific reason for partial or non-functionality of education facility</t>
  </si>
  <si>
    <t>If no, or partially why?</t>
  </si>
  <si>
    <t>Damaged during conflict
Damaged during flooding/land slide
Damaged due to normal usage 
Closed due to lack of funding
Lack of teachers/staff working at the school/education facility
Lack of adequate teaching materials
Other (specify)</t>
  </si>
  <si>
    <t>Only ask if answer to previous question is No or partially
END LOOP</t>
  </si>
  <si>
    <t>% of households citing specific barriers faced by children attending school, ranked by top 3</t>
  </si>
  <si>
    <t>What are the top three barriers, if any, that children that are attending school face in the school?</t>
  </si>
  <si>
    <t xml:space="preserve">Unaffordable school fees
Unaffordable education-related costs (supplies, transportation)
Lack of school feeding or food at school
Lack of school in the community 
Safety risks while commuting to school
Safety risks while at school
School hard to accessible 
Lack of adequate teaching staff in the school
Lack of adequate learning materials like textbooks
Class rooms are overcrowded
No proper class rooms available at school
Lack of adequate latrine at school
Child  responsibility to help at home / farm
Child  responsibility to  income generation
Disability is not catered for by the school
Stigma around mental health conditions
Child physical illness
Education is not a priority for their family
Education not a priorty for the child 
Child thinks/feels overaged for the level/grade of school they are assigned
Children join/recruited by armed groups
Marriage and/or pregnancy , Language issues
Lack of food at home
Bullying
Discrimination by the education facility due to gender
Other
Don't know
None
Decline to answer
[If HH member is an IDP]
- Schools do not accept IDP due to capacity shortage
- Schools do not accept IDP children due to policy
- Discrimination against IDPs
</t>
  </si>
  <si>
    <t>I should not be able to select more than three</t>
  </si>
  <si>
    <t>%  of households where (specific household member) is not attending school, categorized by primary reasons.</t>
  </si>
  <si>
    <t>What is the reason(s) for (specific HH member) not attending?</t>
  </si>
  <si>
    <t>Cannot afford School fees
Cannot afford other education-related costs (supplies, transportation)
Lack of school feeding or food at school
Lack of school in the community 
Safety risks while commuting to school
Safety risks while at school
School not accessible 
Lack of adequate teaching staff in the school
Lack of adequate learning materials like textbooks
Child helping at home / farm
Children engaged in gold mining
Children engaged in other income generating activities
Children want to migrate abroad,
Stigma around mental health conditions
Due to child  physical to illness
Education is not a priority for their family
Education not a priorty for the child 
Child thinks/feels overaged for the level/grade of school they are assigned
Not able to register or enrol child in the school
Children join/recruited by armed groups
Marriage and/or pregnancy , Language issues
Lack of food at home
Migrated to anther country 
Bullying
Service provider not able to help me  a disability specifc educational needs issue (please specifiy)
Other
Don't know
Decline to answer
[If HH member is an IDP]
- Schools do not accept IDP due to capacity shortage
- Schools do not accept IDP children due to policy
- Discrimination against IDPs</t>
  </si>
  <si>
    <t xml:space="preserve">This question should be looped with household roster and repeated for each of the household members reported to be either  'enrolled but not attending'
</t>
  </si>
  <si>
    <t>This should be linked to specific HH members who are enrolled but not attending school</t>
  </si>
  <si>
    <t>% of households where (specific household member) has dropped out of school, categorized by primary reasons for dropping out</t>
  </si>
  <si>
    <t>What is the reason (specific HH member) dropped out?</t>
  </si>
  <si>
    <t xml:space="preserve"> </t>
  </si>
  <si>
    <t>Cannot afford School fees
Cannot afford other education-related costs (supplies, transportation)
Lack of school feeding or food at school
Lack of school in the community 
Safety risks while commuting to school
Safety risks while at school
School not accessible 
Lack of adequate teaching staff in the school
Lack of adequate learning materials like textbooks
Child helping at home / farm
Children engaged in gold mining
Children engaged in other income generating activities
Children want to migrate abroad,
Stigma around mental health conditions
Due to child  physical illness
Education is not a priority for their family
Education not a priorty for the child 
Child thinks/feels overaged for the level/grade of school they are assigned
Not able to register or enrol child in the school
Children join/recruited by armed groups
Marriage and/or pregnancy , Language issues
Lack of food at home
Migrated to anther country 
Bullying
Service provider not able to help  with a disability specifc educational needs issue
Discrimination by education facility due to gender (please specifiy)
Other
Don't know
Decline to answer
[If HH member is an IDP]
- Schools do not accept IDP due to capacity shortage
- Schools do not accept IDP children due to policy
- Discrimination against IDPs</t>
  </si>
  <si>
    <t xml:space="preserve">this question should be looped with household roster and repeated for each of the household members reported to be either  'enrolled but not attending' or 'dropped out within two years' </t>
  </si>
  <si>
    <t>The name(s) of the drop out does not appear but should</t>
  </si>
  <si>
    <t>% of households mentioning a specific area of education service  improvement as the first priority</t>
  </si>
  <si>
    <t>What would be the  first most important improvement in education services?</t>
  </si>
  <si>
    <t xml:space="preserve">Imrovment in accessibilty by households
Improvement in accessiblity by spesfic groups (like IDPs, people with disabilities)
Improvement in affordability 
Improvement in functionality (like maintenance)
Improvement in HR capacity (like trainings and number)
Improvement in  calss room spaces (like building , student/class room ratios)
Improvement in safety and security in school
Improvement in safety and security on the way/ around to school
Improvement infinancial / in-kind support for families
other (please specify)
</t>
  </si>
  <si>
    <t>Should not be able to give the same answer in these three questions</t>
  </si>
  <si>
    <t>% of households mentioning a specific area of education service  improvement as the second riority</t>
  </si>
  <si>
    <t>What would be the  second most important improvement in education services?</t>
  </si>
  <si>
    <t>% of households mentioning a specific area of education service  improvement as the third priority</t>
  </si>
  <si>
    <t>What would be the third most important improvement in education services?</t>
  </si>
  <si>
    <t xml:space="preserve">Imrovment in accessibilty by households
Improvement in accessiblity by spesfic groups (like IDPs, people with disabilities)
Improvement in affordability 
Improvement in functionality (like maintenance)
Improvement in HR capacity (like trainings and number)
Improvement in  calss room spaces (like building , student/class room ratios)
Improvement in safety and security in school
Improvement in safety and security on the way/ around to school
Improvement infinancial / in-kind support for families
Other (Please specify)
</t>
  </si>
  <si>
    <t>% of households  perceiving themselves as informed about education services</t>
  </si>
  <si>
    <t>How informed do you think you and the members of your household are about the availabilty eduction in your locality?</t>
  </si>
  <si>
    <t>% of households citing a specific reason for perceiving education service  information as inaccurate or only somewhat accurate</t>
  </si>
  <si>
    <t xml:space="preserve">% of households by education service information source </t>
  </si>
  <si>
    <t>How do you receive information about eduction in your locality?</t>
  </si>
  <si>
    <t>Select one or select multiple</t>
  </si>
  <si>
    <t>Local government
Community leaders (specify who)
Other community members
NGOs
No information received
Other (please specify)</t>
  </si>
  <si>
    <t>Do not ask if they selected 'there is no information' for previous
Specify box comes up twice if I click other but the 'specific who' box does not come up if I select 'community leader'</t>
  </si>
  <si>
    <t>% of households indicating their preffered method of education service information</t>
  </si>
  <si>
    <t>How would you like to receive information about eduction in your locality in the future?</t>
  </si>
  <si>
    <t>Local government
Community leaders (specify who)
Other community members
NGOs
Other (please specify)</t>
  </si>
  <si>
    <t>Specify box does not appear for community leader or for other</t>
  </si>
  <si>
    <t>HH DRR</t>
  </si>
  <si>
    <t>Additional to RQs - can consider deleting if tool too long in implementation</t>
  </si>
  <si>
    <t>%  of households exposed to hazards in the last 3 years.</t>
  </si>
  <si>
    <t>In the last 3 years, has your HH been exposed to any of the listed hazards?</t>
  </si>
  <si>
    <t>Flood
Drought
Landslide
Heat wave
Epidemics
Water scarcity
Earthquake
None
Others (please specify)</t>
  </si>
  <si>
    <t>Repeat this series of questions on a loop for every hazard selected here</t>
  </si>
  <si>
    <t>% of households reporting increased need for accessing specxific ue to exposure to hazards.</t>
  </si>
  <si>
    <t>If yes, has exposure to this hazard (flood) increased your need to access health, education or water and sanitation services?</t>
  </si>
  <si>
    <t>Yes
No
Don't know
Prefer not to say</t>
  </si>
  <si>
    <t>% of households reporting increased need for accessing specific services due to exposure to hazards, by service type</t>
  </si>
  <si>
    <t>If yes, which ones?</t>
  </si>
  <si>
    <t>Health
Water and sanitation
Education</t>
  </si>
  <si>
    <t>If either selected, comment should be provided to explain how</t>
  </si>
  <si>
    <t>remove education as answer option</t>
  </si>
  <si>
    <t>% of households reporting impacts on access to services due to hazards, by impact type</t>
  </si>
  <si>
    <t>If yes, how have these hazards impacted your access to services?</t>
  </si>
  <si>
    <t>Created physical barrier that meant I could no longer access the facility 
Created a new need for me or a member of my household that none of the local services can respond to (if so, what?)
Physically damaged the facility leaving it non-functional or partially-functional
My access to services was not impacted
Other (specify)</t>
  </si>
  <si>
    <t>remove the conditionality on this question. It should be asked to everyone that has reported being exposed to hazard, whether or not it has increased their need. It could still have affected their access</t>
  </si>
  <si>
    <t>Gender (Female) specific questions 
 (SOMALI ONLY) FEMALE ENUMERATOR TAKES OVER
(please only ask these at the end of the survey if: 1)  the respondent is female or 2) if the respondent is male, ask if there is a woman present in the HH who we could ask a short set of questions to)</t>
  </si>
  <si>
    <t>Need an option to end the survey here if there is no female available to interview</t>
  </si>
  <si>
    <t xml:space="preserve">% of females respondents reporting specific barriers in accessing health facilities </t>
  </si>
  <si>
    <t>As a female, what are the main barriers that you and the other female members of your household face when accesing health facilities?</t>
  </si>
  <si>
    <t>Physical access to the health facility limited due to distance
Physical access to the health facility limited due to safety concerns
Physical access to the health facility limited due to cost of transport 
Unable to travel to health facility due to childcare responsibilities
Gender specific services are not available at the health facility (maternal health services, reprodcutive health services)
Unable to access gender specific health services due to service provider discrimination
Feel unable to use the health service due to fear of being stigmatised/shamed by service provider
Feel unable to use the health service due to fear of being stigmatised/shamed by the community
Feel unable to use the health service due to fear of being stigmatised/shamed by other (please specify)
Unable to access healthcare services due to cost 
Unaware of specific health services that meet my needs
None</t>
  </si>
  <si>
    <t>2.	To identify which services are unavailable but are priorities for  affected populations.
d.	What are the cultural barriers, if any, that may hinder service-seeking behaviors, such as stigma or taboos?</t>
  </si>
  <si>
    <t>% of females respondents reporting specific health services needs that were not met due to cultural barriers.</t>
  </si>
  <si>
    <t>In the past 12 months, are there specific health services that you or any female members of your household needed but were not able to seek due to certain cultural barriers, such as stigma or taboos?</t>
  </si>
  <si>
    <t xml:space="preserve">3.	To understand which barriers prevent affected populations and/or vulnerable groups  (notably people affected by crisis, but also other vulnerable sub groups like people with disabilities, unaccompanied minors, IDPs female headed households, elderly headed households, returnees) from accessing certain services.
b.	Which vulnerable groups are more likely to face decreased access to services? Why are they facing decreased access?  </t>
  </si>
  <si>
    <t>% of females respondents  reporting specific health service needs that were not met due to cultural barriers, by service type</t>
  </si>
  <si>
    <t xml:space="preserve">If yes, which services were you not able to access? </t>
  </si>
  <si>
    <t>Emergency services
Pediatric services
In patient services
Out patient services
Nutrition services
Vaccination services
Maternal health services
Surgery
Pharmacy
TB treatment
Mental health and psychosocial support
Physical disability services (including follow up and physiotherapy)
Non-communicable diseases (diabetes, asthma,hypertension)
Reproductive health services
HIV/AIDS treatment
SGBV services
Referral services
Other specify
Do not know
Prefer not to answer</t>
  </si>
  <si>
    <t>Answer options in kobo do not correspond to this, please check</t>
  </si>
  <si>
    <t>% of females respondents  aware of available health services</t>
  </si>
  <si>
    <t>Are you aware of what health services are available in your locality?</t>
  </si>
  <si>
    <t>% of females respondents  by health service information source</t>
  </si>
  <si>
    <t>If yes, how were you made aware of this information?</t>
  </si>
  <si>
    <t xml:space="preserve">Written materials
Word of mouth in community
Health promotion worker
Local government
Health facility
NGO
Other (specify)
</t>
  </si>
  <si>
    <t>% of females respondents  by reason why they are not aware of available health services in their locality.</t>
  </si>
  <si>
    <t>If no, why not?</t>
  </si>
  <si>
    <t>The medium is not accessible to me (e.g., it's in a language I don't understand, my literacy levels prevent me from understanding it) (specify the information souce that is not accessible)
No one spoke to me about health services
No one in my household or community is aware
I don't feel able to ask 
I don't know who to ask
I prefer not to say
Other (specify)</t>
  </si>
  <si>
    <t>% of females respondents reporting risks to safety and security  when accessing health services</t>
  </si>
  <si>
    <t>Are there any risks to safety and security that you or any female members of your household have faced when accessing health services?</t>
  </si>
  <si>
    <t>% of females respondents reporting risks to safety and security hen accessing health services, by risk type</t>
  </si>
  <si>
    <t>If yes, which risks?</t>
  </si>
  <si>
    <t>Risk to safety when travelling to the health service
Area where service is located is unsafe during day due to verbal harrasment
Area where service is located is unsafe during day due to risk of being kidnapped
Area where service is located is unsafe during day due to physical violence
Area where service is located is unsafe during day due to being threatened with violence
Area where service is located is unsafe during day due to sexual harrasment/violence
Area where service is located is unsafe during night due to verbal harrasment
Area where service is located is unsafe during night due to risk of being kidnapped
Area where service is located is unsafe during night due to being threatened violence
Area where service is located is unsafe during night due to physical violence
Area where service is located is unsafe during night due to sexual harrasment/violence</t>
  </si>
  <si>
    <t>% of females respondents   aware of the availability of health or general care services for survivors of SGBV.</t>
  </si>
  <si>
    <t>Are you and other female members of your household aware of the availability of any health or general care services for survivors of SGBV?</t>
  </si>
  <si>
    <r>
      <t xml:space="preserve">Yes
No </t>
    </r>
    <r>
      <rPr>
        <sz val="10"/>
        <color rgb="FFFF0000"/>
        <rFont val="Calibri"/>
        <family val="2"/>
        <scheme val="minor"/>
      </rPr>
      <t xml:space="preserve">
</t>
    </r>
    <r>
      <rPr>
        <sz val="10"/>
        <color theme="1"/>
        <rFont val="Calibri"/>
        <family val="2"/>
        <scheme val="minor"/>
      </rPr>
      <t>Do not know
I prefer not to answer</t>
    </r>
  </si>
  <si>
    <t>Please ensure that these questions are handled sensetively. If a male member of the household is nearby, please do not ask this question</t>
  </si>
  <si>
    <t>% of females respondents with necessary information to access SGBV services if needed.</t>
  </si>
  <si>
    <t>If you were to require SGBV services, do you and other female members of your HH have the information you would need to access them?</t>
  </si>
  <si>
    <t>Yes
No
Don't know,
Prefer not to answer</t>
  </si>
  <si>
    <t>% of females respondents indicating their preffered method of SGBV service information</t>
  </si>
  <si>
    <t>How would you or any female members of your household like to receive information about SGBV services?</t>
  </si>
  <si>
    <t>Water board appears as an option in Kobo, please remove</t>
  </si>
  <si>
    <t xml:space="preserve">% of females respondents reporting specific barriers in accessing education facilities </t>
  </si>
  <si>
    <t>As a female, what are the main barriers that you or any female members of your household face when accessing education facilities?</t>
  </si>
  <si>
    <r>
      <t xml:space="preserve">Physical access to the education facility limited due to distance
Physical access to the education facility limited due to safety concerns
Physical access to the education facility limited due to cost of transport 
Unable to travel to education facility due to childcare responsibilities
Unable to access education due to discrimination by educational facility
Feel unable to access the education facility due to fear of being stigmatised/shamed by service provider
</t>
    </r>
    <r>
      <rPr>
        <sz val="11"/>
        <color rgb="FFFF0000"/>
        <rFont val="Calibri"/>
        <family val="2"/>
        <scheme val="minor"/>
      </rPr>
      <t>Feel unable to access the education facility due to fear of being stigmatised</t>
    </r>
    <r>
      <rPr>
        <sz val="11"/>
        <color theme="1"/>
        <rFont val="Calibri"/>
        <family val="2"/>
        <scheme val="minor"/>
      </rPr>
      <t xml:space="preserve">
Feel unable to access the education facility due to fear of being stigmatised/shamed by the community
Unable to access education services due to cost 
Unaware of specific education services that meet my needs
</t>
    </r>
    <r>
      <rPr>
        <sz val="11"/>
        <rFont val="Calibri"/>
        <family val="2"/>
        <scheme val="minor"/>
      </rPr>
      <t xml:space="preserve">Lack of menstrual hygiene facilities at the education centre
</t>
    </r>
  </si>
  <si>
    <t>The highlighted answer option should be 'feel unable to access the education facility due to fear of being stagmatised by other' (option to specify)</t>
  </si>
  <si>
    <t>% of females respondents reporting specific education service needs that were not met due to cultural barriers.</t>
  </si>
  <si>
    <t>In the past 12 months, are there specific educational services that you or any female members of your household needed but were not able to seek due to certain cultural barriers, such as stigma or taboos?</t>
  </si>
  <si>
    <t>% of females respondents  aware of available education services</t>
  </si>
  <si>
    <t>Are you aware of what education services are available in your locality?</t>
  </si>
  <si>
    <t>% of females respondents  by education service information source</t>
  </si>
  <si>
    <t xml:space="preserve">Written materials
Word of mouth in community
Education promotion worker
Local government 
Health facility
NGO
Other (specify)
</t>
  </si>
  <si>
    <t>Specify box does not appear when I select other</t>
  </si>
  <si>
    <t>% of females respondents  by reason why they are not aware of available education services in their locality.</t>
  </si>
  <si>
    <t>The medium is not accessible to me (e.g., it's in a language I don't understand, my literacy levels prevent me from understanding it) (specify the information souce that is not accessible)
No one spoke to me about education services
No one in my household or community is aware
I don't feel able to ask 
I don't know who to ask
I prefer not to say
Other (specify)</t>
  </si>
  <si>
    <t>% of females respondents reporting risks to safety and security when accessing education services</t>
  </si>
  <si>
    <t>Are there any risks to safety and security that you or any female members of your household have faced when accessing education services?</t>
  </si>
  <si>
    <t>% of females respondents reporting risks to safety and security when accessing education services, by risk type</t>
  </si>
  <si>
    <t>Risk to safety when travelling to the education service
Area where service is located is unsafe during day due to verbal harrasment
Area where service is located is unsafe during day due to risk of being kidnapped
Area where service is located is unsafe during day due to physical violence
Area where service is located is unsafe during day due to being threatened with violence
Area where service is located is unsafe during day due to sexual harrasment/violence
Area where service is located is unsafe during night due to verbal harrasment
Area where service is located is unsafe during night due to risk of being kidnapped
Area where service is located is unsafe during night due to being threatened violence
Area where service is located is unsafe during night due to physical violence
Area where service is located is unsafe during night due to sexual harrasment/violence</t>
  </si>
  <si>
    <t>Add 'none' to the answer options</t>
  </si>
  <si>
    <t xml:space="preserve">% of females respondents reporting specific barriers in accessing water facilities </t>
  </si>
  <si>
    <t>As a female, what are the main barriers that you or any female members of your household face when accessing water facilities?</t>
  </si>
  <si>
    <t>Physical access to the water facility limited due to distance
Physical access to the water facility limited due to safety concerns
Physical access to the water facility limited due to cost of transport 
Unable to travel to water facility due to childcare responsibilities
Unable to access water facility due to discrimination by water provider
Feel unable to access the water facility due to fear of being stigmatised/shamed by service provider
Feel unable to access the water facility due to fear of being stigmatised
Feel unable to access the water facility due to fear of being stigmatised/shamed by the community
Unable to access water services due to cost 
Unaware of specific water services that meet my needs</t>
  </si>
  <si>
    <t>% of females respondents reporting specific water service needs that were not met due to cultural barriers.</t>
  </si>
  <si>
    <t>In the past 12 months, are there specific water services that you or any female members of your household needed but were not able to seek due to certain cultural barriers, such as stigma or taboos?</t>
  </si>
  <si>
    <t>Yes 
 No
Don't know,
Prefer not to answer</t>
  </si>
  <si>
    <t>% of females respondents  aware of available water services</t>
  </si>
  <si>
    <t>Are you aware of what water services are available in your locality?</t>
  </si>
  <si>
    <t>% of females respondents by water service information source</t>
  </si>
  <si>
    <t xml:space="preserve">Written materials
Word of mouth in community
Local government 
Health facility
NGO
Water provider
Other (specify)
</t>
  </si>
  <si>
    <t>This is missing from the kobo
Health facility answer option should be removed</t>
  </si>
  <si>
    <t>% of females respondents  by reason why they are not aware of available water services in their locality.</t>
  </si>
  <si>
    <t>The medium is not accessible to me (e.g., it's in a language I don't understand, my literacy levels prevent me from understanding it) (specify the information souce that is not accessible)
No one spoke to me about water services
No one in my household or community is aware
I don't feel able to ask 
I don't know who to ask
I prefer not to say
Other (specify)</t>
  </si>
  <si>
    <t>% of females respondents reporting risks to safety and security when accessing water services</t>
  </si>
  <si>
    <t>Are there any risks to safety and security that you or any female members of your household have faced when accessing water services?</t>
  </si>
  <si>
    <t>% of females respondents reporting risks to safety and security when accessing water services, by risk type</t>
  </si>
  <si>
    <t>Risk to safety when travelling to the water service/water point
Area where service is located is unsafe during day due to verbal harrasment
Area where service is located is unsafe during day due to risk of being kidnapped
Area where service is located is unsafe during day due to physical violence
Area where service is located is unsafe during day due to being threatened with violence
Area where service is located is unsafe during day due to sexual harrasment/violence
Area where service is located is unsafe during night due to verbal harrasment
Area where service is located is unsafe during night due to risk of being kidnapped
Area where service is located is unsafe during night due to being threatened violence
Area where service is located is unsafe during night due to physical violence
Area where service is located is unsafe during night due to sexual harrasment/violence</t>
  </si>
  <si>
    <t>Answer options in Kobo are not correct - they are the ones from the corresponding health question. Please change to these ones</t>
  </si>
  <si>
    <t xml:space="preserve">If yes, what kind of health service(s) was, or would have been, required?
</t>
  </si>
  <si>
    <t>health_need_assistance_yes</t>
  </si>
  <si>
    <t>Average households age</t>
  </si>
  <si>
    <t>% of households gender</t>
  </si>
  <si>
    <t>Demographic</t>
  </si>
  <si>
    <t xml:space="preserve">Disaster </t>
  </si>
  <si>
    <t>education_security_risks_yes</t>
  </si>
  <si>
    <t>water_security_risks_yes</t>
  </si>
  <si>
    <t>education_services_info_yes</t>
  </si>
  <si>
    <t>education_services_info_no</t>
  </si>
  <si>
    <t>water_services_info_yes</t>
  </si>
  <si>
    <t>water_services_info_no</t>
  </si>
  <si>
    <t>received_information_no_accurte2</t>
  </si>
  <si>
    <t>obtained_information_not_accurte</t>
  </si>
  <si>
    <t>Are any services currently operating from this facility (health post)?</t>
  </si>
  <si>
    <t>health_centre_owner</t>
  </si>
  <si>
    <t>Are any services currently operating from this facility (hospital)?</t>
  </si>
  <si>
    <t>operating_hospital</t>
  </si>
  <si>
    <t>hospital_non_functionality_reason</t>
  </si>
  <si>
    <t>hopsital_services</t>
  </si>
  <si>
    <t>hopsital_location</t>
  </si>
  <si>
    <t>hopsital_located_out_of_kebele</t>
  </si>
  <si>
    <t>travel_time_to_hopsital</t>
  </si>
  <si>
    <t>hopsital_owner</t>
  </si>
  <si>
    <t>Are any services currently operating from this facility (health centre)?</t>
  </si>
  <si>
    <t>operating_health_centre</t>
  </si>
  <si>
    <t>health_centre_non_functionality_reason</t>
  </si>
  <si>
    <t>health_centre_services</t>
  </si>
  <si>
    <t>health_centre_location</t>
  </si>
  <si>
    <t>health_centre_located_out_of_kebele</t>
  </si>
  <si>
    <t>travel_time_to_health_centre</t>
  </si>
  <si>
    <t>health_post_owner</t>
  </si>
  <si>
    <t>operating_pharmacy</t>
  </si>
  <si>
    <t>Are any services currently operating from this facility (pharmacy)?</t>
  </si>
  <si>
    <t>pharmacy_non_functionality_reason</t>
  </si>
  <si>
    <t>pharmacy_services</t>
  </si>
  <si>
    <t>pharmacy_location</t>
  </si>
  <si>
    <t>pharmacy_located_out_of_kebele</t>
  </si>
  <si>
    <t>travel_time_to_pharmacy</t>
  </si>
  <si>
    <t>pharmacy_owner</t>
  </si>
  <si>
    <t>operating_dispensary</t>
  </si>
  <si>
    <t>dispensary_non_functionality_reason</t>
  </si>
  <si>
    <t>dispensary_services</t>
  </si>
  <si>
    <t>dispensary_location</t>
  </si>
  <si>
    <t>dispensary_located_out_of_kebele</t>
  </si>
  <si>
    <t>travel_time_to_dispensary</t>
  </si>
  <si>
    <t>dispensary_owner</t>
  </si>
  <si>
    <t>operating_mobile_clinics</t>
  </si>
  <si>
    <t>Are any services currently operating from this facility (mobile clincs)?</t>
  </si>
  <si>
    <t>mobile_clinics_non_functionality_reason</t>
  </si>
  <si>
    <t>mobile_clinics_services</t>
  </si>
  <si>
    <t>mobile_clinics_location</t>
  </si>
  <si>
    <t>mobile_clinics_located_out_of_kebele</t>
  </si>
  <si>
    <t>travel_time_to_mobile_clinics</t>
  </si>
  <si>
    <t>mobile_clinics_owner</t>
  </si>
  <si>
    <t>operating_hh_healthcare</t>
  </si>
  <si>
    <t>Are any services currently operating from this facility (household healthcare)?</t>
  </si>
  <si>
    <t>hh_healthcare_non_functionality_reason</t>
  </si>
  <si>
    <t>hh_healthcare_services</t>
  </si>
  <si>
    <t>hh_healthcare_location</t>
  </si>
  <si>
    <t>hh_healthcare_located_out_of_kebele</t>
  </si>
  <si>
    <t>travel_time_to_hh_healthcare</t>
  </si>
  <si>
    <t>hh_healthcare_owner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</si>
</sst>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u/>
      <sz val="11"/>
      <color theme="10"/>
      <name val="Calibri"/>
      <family val="2"/>
      <scheme val="minor"/>
    </font>
    <font>
      <sz val="8"/>
      <name val="Calibri"/>
      <family val="2"/>
      <scheme val="minor"/>
    </font>
    <font>
      <sz val="10"/>
      <name val="Segoe UI"/>
      <family val="2"/>
    </font>
    <font>
      <sz val="10"/>
      <name val="Arial"/>
      <family val="2"/>
    </font>
    <font>
      <sz val="10"/>
      <color theme="1"/>
      <name val="Segoe UI"/>
      <family val="2"/>
    </font>
    <font>
      <sz val="10"/>
      <color rgb="FF000000"/>
      <name val="Segoe UI"/>
      <family val="2"/>
    </font>
    <font>
      <b/>
      <sz val="10"/>
      <color theme="1"/>
      <name val="Segoe UI"/>
      <family val="2"/>
    </font>
    <font>
      <sz val="10"/>
      <color rgb="FFFF0000"/>
      <name val="Segoe UI"/>
      <family val="2"/>
    </font>
    <font>
      <b/>
      <sz val="10"/>
      <color rgb="FFFF0000"/>
      <name val="Segoe UI"/>
      <family val="2"/>
    </font>
    <font>
      <b/>
      <sz val="10"/>
      <color theme="0"/>
      <name val="Segoe UI"/>
      <family val="2"/>
    </font>
    <font>
      <b/>
      <sz val="10"/>
      <color theme="9"/>
      <name val="Segoe UI"/>
      <family val="2"/>
    </font>
    <font>
      <b/>
      <sz val="12"/>
      <color theme="1"/>
      <name val="Calibri"/>
      <family val="2"/>
      <scheme val="minor"/>
    </font>
    <font>
      <sz val="10"/>
      <color theme="1"/>
      <name val="Calibri (Body)"/>
    </font>
    <font>
      <b/>
      <sz val="10"/>
      <color theme="1"/>
      <name val="Calibri (Body)"/>
    </font>
    <font>
      <i/>
      <sz val="10"/>
      <color theme="1"/>
      <name val="Calibri (Body)"/>
    </font>
    <font>
      <sz val="10"/>
      <color theme="1"/>
      <name val="Calibri"/>
      <family val="2"/>
    </font>
    <font>
      <sz val="10"/>
      <color theme="9"/>
      <name val="Segoe UI"/>
      <family val="2"/>
    </font>
    <font>
      <u/>
      <sz val="10"/>
      <color theme="4"/>
      <name val="Segoe UI"/>
      <family val="2"/>
    </font>
    <font>
      <b/>
      <sz val="10"/>
      <color rgb="FF000000"/>
      <name val="Segoe UI"/>
      <family val="2"/>
    </font>
    <font>
      <sz val="11"/>
      <color theme="1"/>
      <name val="Calibri"/>
      <family val="2"/>
      <scheme val="minor"/>
    </font>
    <font>
      <sz val="10"/>
      <color theme="1"/>
      <name val="Calibri"/>
      <family val="2"/>
      <scheme val="minor"/>
    </font>
    <font>
      <sz val="10"/>
      <name val="Calibri"/>
      <family val="2"/>
      <scheme val="minor"/>
    </font>
    <font>
      <sz val="10"/>
      <color rgb="FF000000"/>
      <name val="Calibri"/>
      <family val="2"/>
      <scheme val="minor"/>
    </font>
    <font>
      <i/>
      <sz val="10"/>
      <color theme="1"/>
      <name val="Calibri"/>
      <family val="2"/>
      <scheme val="minor"/>
    </font>
    <font>
      <b/>
      <sz val="10"/>
      <color theme="1"/>
      <name val="Calibri"/>
      <family val="2"/>
      <scheme val="minor"/>
    </font>
    <font>
      <sz val="10"/>
      <color rgb="FFFF0000"/>
      <name val="Calibri"/>
      <family val="2"/>
      <scheme val="minor"/>
    </font>
    <font>
      <sz val="10"/>
      <color rgb="FF000000"/>
      <name val="Calibri"/>
      <family val="2"/>
    </font>
    <font>
      <i/>
      <sz val="10"/>
      <name val="Calibri"/>
      <family val="2"/>
      <scheme val="minor"/>
    </font>
    <font>
      <sz val="11"/>
      <color rgb="FF000000"/>
      <name val="Calibri"/>
      <family val="2"/>
    </font>
    <font>
      <b/>
      <sz val="11"/>
      <color theme="1"/>
      <name val="Calibri"/>
      <family val="2"/>
      <scheme val="minor"/>
    </font>
    <font>
      <sz val="11"/>
      <color rgb="FF000000"/>
      <name val="Calibri"/>
      <family val="2"/>
      <scheme val="minor"/>
    </font>
    <font>
      <sz val="11"/>
      <name val="Calibri"/>
      <family val="2"/>
      <scheme val="minor"/>
    </font>
    <font>
      <b/>
      <sz val="12"/>
      <color rgb="FF000000"/>
      <name val="Arial Narrow"/>
      <family val="2"/>
    </font>
    <font>
      <sz val="11"/>
      <color rgb="FFFF0000"/>
      <name val="Calibri"/>
      <family val="2"/>
      <scheme val="minor"/>
    </font>
    <font>
      <sz val="10"/>
      <color rgb="FF000000"/>
      <name val="Calibri"/>
      <family val="2"/>
    </font>
    <font>
      <sz val="10"/>
      <color theme="1"/>
      <name val="Arial Narrow"/>
      <family val="2"/>
    </font>
  </fonts>
  <fills count="18">
    <fill>
      <patternFill patternType="none"/>
    </fill>
    <fill>
      <patternFill patternType="gray125"/>
    </fill>
    <fill>
      <patternFill patternType="solid">
        <fgColor rgb="FF315975"/>
        <bgColor indexed="64"/>
      </patternFill>
    </fill>
    <fill>
      <patternFill patternType="solid">
        <fgColor theme="0"/>
        <bgColor indexed="64"/>
      </patternFill>
    </fill>
    <fill>
      <patternFill patternType="solid">
        <fgColor theme="0" tint="-0.14996795556505021"/>
        <bgColor indexed="64"/>
      </patternFill>
    </fill>
    <fill>
      <patternFill patternType="solid">
        <fgColor rgb="FFFFC000"/>
        <bgColor indexed="64"/>
      </patternFill>
    </fill>
    <fill>
      <patternFill patternType="solid">
        <fgColor rgb="FF92D050"/>
        <bgColor indexed="64"/>
      </patternFill>
    </fill>
    <fill>
      <patternFill patternType="solid">
        <fgColor rgb="FFFF0000"/>
        <bgColor indexed="64"/>
      </patternFill>
    </fill>
    <fill>
      <patternFill patternType="solid">
        <fgColor rgb="FF00B0F0"/>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rgb="FFA6A6A6"/>
        <bgColor rgb="FF000000"/>
      </patternFill>
    </fill>
    <fill>
      <patternFill patternType="solid">
        <fgColor rgb="FFFFFF00"/>
        <bgColor indexed="64"/>
      </patternFill>
    </fill>
    <fill>
      <patternFill patternType="solid">
        <fgColor rgb="FFFFFF00"/>
        <bgColor rgb="FF000000"/>
      </patternFill>
    </fill>
    <fill>
      <patternFill patternType="solid">
        <fgColor theme="7" tint="0.59999389629810485"/>
        <bgColor indexed="64"/>
      </patternFill>
    </fill>
  </fills>
  <borders count="53">
    <border>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right style="hair">
        <color indexed="64"/>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right/>
      <top style="hair">
        <color indexed="64"/>
      </top>
      <bottom/>
      <diagonal/>
    </border>
    <border>
      <left/>
      <right style="dotted">
        <color indexed="64"/>
      </right>
      <top/>
      <bottom style="dotted">
        <color indexed="64"/>
      </bottom>
      <diagonal/>
    </border>
    <border>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right style="dotted">
        <color indexed="64"/>
      </right>
      <top style="dotted">
        <color indexed="64"/>
      </top>
      <bottom/>
      <diagonal/>
    </border>
    <border>
      <left style="dotted">
        <color indexed="64"/>
      </left>
      <right style="dotted">
        <color indexed="64"/>
      </right>
      <top style="dotted">
        <color indexed="64"/>
      </top>
      <bottom/>
      <diagonal/>
    </border>
    <border>
      <left style="dotted">
        <color indexed="64"/>
      </left>
      <right style="thin">
        <color indexed="64"/>
      </right>
      <top/>
      <bottom style="dotted">
        <color indexed="64"/>
      </bottom>
      <diagonal/>
    </border>
    <border>
      <left style="dotted">
        <color indexed="64"/>
      </left>
      <right style="thin">
        <color indexed="64"/>
      </right>
      <top style="dotted">
        <color indexed="64"/>
      </top>
      <bottom style="dotted">
        <color indexed="64"/>
      </bottom>
      <diagonal/>
    </border>
    <border>
      <left style="dotted">
        <color indexed="64"/>
      </left>
      <right style="thin">
        <color indexed="64"/>
      </right>
      <top style="dotted">
        <color indexed="64"/>
      </top>
      <bottom/>
      <diagonal/>
    </border>
    <border>
      <left/>
      <right style="thin">
        <color indexed="64"/>
      </right>
      <top/>
      <bottom style="dotted">
        <color indexed="64"/>
      </bottom>
      <diagonal/>
    </border>
    <border>
      <left/>
      <right style="thin">
        <color indexed="64"/>
      </right>
      <top style="dotted">
        <color indexed="64"/>
      </top>
      <bottom style="dotted">
        <color indexed="64"/>
      </bottom>
      <diagonal/>
    </border>
    <border>
      <left/>
      <right style="thin">
        <color indexed="64"/>
      </right>
      <top style="dotted">
        <color indexed="64"/>
      </top>
      <bottom/>
      <diagonal/>
    </border>
    <border>
      <left style="thin">
        <color indexed="64"/>
      </left>
      <right style="thin">
        <color indexed="64"/>
      </right>
      <top style="dotted">
        <color indexed="64"/>
      </top>
      <bottom style="dotted">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top/>
      <bottom style="thin">
        <color auto="1"/>
      </bottom>
      <diagonal/>
    </border>
    <border>
      <left style="thin">
        <color auto="1"/>
      </left>
      <right/>
      <top style="thin">
        <color auto="1"/>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style="thin">
        <color auto="1"/>
      </top>
      <bottom/>
      <diagonal/>
    </border>
    <border>
      <left style="thin">
        <color indexed="64"/>
      </left>
      <right style="thin">
        <color indexed="64"/>
      </right>
      <top style="medium">
        <color indexed="64"/>
      </top>
      <bottom style="thin">
        <color indexed="64"/>
      </bottom>
      <diagonal/>
    </border>
    <border>
      <left/>
      <right/>
      <top/>
      <bottom style="thin">
        <color rgb="FF000000"/>
      </bottom>
      <diagonal/>
    </border>
    <border>
      <left/>
      <right style="thin">
        <color indexed="64"/>
      </right>
      <top/>
      <bottom style="thin">
        <color rgb="FF000000"/>
      </bottom>
      <diagonal/>
    </border>
    <border>
      <left/>
      <right/>
      <top style="thin">
        <color rgb="FF000000"/>
      </top>
      <bottom/>
      <diagonal/>
    </border>
    <border>
      <left/>
      <right style="thin">
        <color indexed="64"/>
      </right>
      <top/>
      <bottom style="thin">
        <color auto="1"/>
      </bottom>
      <diagonal/>
    </border>
    <border>
      <left/>
      <right/>
      <top style="thin">
        <color auto="1"/>
      </top>
      <bottom style="thin">
        <color auto="1"/>
      </bottom>
      <diagonal/>
    </border>
    <border>
      <left style="thin">
        <color indexed="64"/>
      </left>
      <right/>
      <top style="medium">
        <color indexed="64"/>
      </top>
      <bottom style="thin">
        <color indexed="64"/>
      </bottom>
      <diagonal/>
    </border>
    <border>
      <left style="thin">
        <color rgb="FF000000"/>
      </left>
      <right/>
      <top style="thin">
        <color rgb="FF000000"/>
      </top>
      <bottom/>
      <diagonal/>
    </border>
    <border>
      <left/>
      <right/>
      <top style="thin">
        <color rgb="FF000000"/>
      </top>
      <bottom style="thin">
        <color rgb="FF000000"/>
      </bottom>
      <diagonal/>
    </border>
    <border>
      <left style="dotted">
        <color indexed="64"/>
      </left>
      <right/>
      <top style="dotted">
        <color indexed="64"/>
      </top>
      <bottom style="dotted">
        <color indexed="64"/>
      </bottom>
      <diagonal/>
    </border>
    <border>
      <left/>
      <right style="thin">
        <color auto="1"/>
      </right>
      <top style="thin">
        <color auto="1"/>
      </top>
      <bottom style="thin">
        <color auto="1"/>
      </bottom>
      <diagonal/>
    </border>
    <border>
      <left/>
      <right/>
      <top/>
      <bottom style="thin">
        <color auto="1"/>
      </bottom>
      <diagonal/>
    </border>
    <border>
      <left style="thin">
        <color indexed="64"/>
      </left>
      <right style="thin">
        <color indexed="64"/>
      </right>
      <top style="thin">
        <color rgb="FF000000"/>
      </top>
      <bottom/>
      <diagonal/>
    </border>
  </borders>
  <cellStyleXfs count="4">
    <xf numFmtId="0" fontId="0" fillId="0" borderId="0"/>
    <xf numFmtId="0" fontId="1" fillId="0" borderId="0" applyNumberFormat="0" applyFill="0" applyBorder="0" applyAlignment="0" applyProtection="0"/>
    <xf numFmtId="0" fontId="4" fillId="0" borderId="0" applyNumberFormat="0" applyFill="0" applyBorder="0" applyAlignment="0" applyProtection="0"/>
    <xf numFmtId="0" fontId="20" fillId="0" borderId="0"/>
  </cellStyleXfs>
  <cellXfs count="423">
    <xf numFmtId="0" fontId="0" fillId="0" borderId="0" xfId="0"/>
    <xf numFmtId="0" fontId="13" fillId="4" borderId="5" xfId="0" applyFont="1" applyFill="1" applyBorder="1" applyAlignment="1">
      <alignment horizontal="left" vertical="center"/>
    </xf>
    <xf numFmtId="0" fontId="13" fillId="4" borderId="6" xfId="0" applyFont="1" applyFill="1" applyBorder="1" applyAlignment="1">
      <alignment horizontal="left" vertical="center"/>
    </xf>
    <xf numFmtId="0" fontId="13" fillId="4" borderId="6" xfId="0" applyFont="1" applyFill="1" applyBorder="1" applyAlignment="1">
      <alignment horizontal="left" vertical="top"/>
    </xf>
    <xf numFmtId="0" fontId="14" fillId="4" borderId="6" xfId="0" applyFont="1" applyFill="1" applyBorder="1" applyAlignment="1">
      <alignment horizontal="left" vertical="center"/>
    </xf>
    <xf numFmtId="0" fontId="0" fillId="0" borderId="0" xfId="0" applyAlignment="1">
      <alignment horizontal="left"/>
    </xf>
    <xf numFmtId="0" fontId="13" fillId="0" borderId="7" xfId="0" applyFont="1" applyBorder="1" applyAlignment="1">
      <alignment vertical="center"/>
    </xf>
    <xf numFmtId="0" fontId="13" fillId="0" borderId="8" xfId="0" applyFont="1" applyBorder="1" applyAlignment="1">
      <alignment vertical="center"/>
    </xf>
    <xf numFmtId="0" fontId="13" fillId="0" borderId="8" xfId="0" applyFont="1" applyBorder="1" applyAlignment="1">
      <alignment vertical="top"/>
    </xf>
    <xf numFmtId="0" fontId="13" fillId="0" borderId="8" xfId="0" applyFont="1" applyBorder="1" applyAlignment="1">
      <alignment horizontal="left" vertical="top"/>
    </xf>
    <xf numFmtId="0" fontId="15" fillId="0" borderId="8" xfId="0" applyFont="1" applyBorder="1" applyAlignment="1">
      <alignment horizontal="left" vertical="top"/>
    </xf>
    <xf numFmtId="0" fontId="13" fillId="0" borderId="9" xfId="0" applyFont="1" applyBorder="1" applyAlignment="1">
      <alignment vertical="top"/>
    </xf>
    <xf numFmtId="0" fontId="13" fillId="0" borderId="9" xfId="0" applyFont="1" applyBorder="1" applyAlignment="1">
      <alignment vertical="center"/>
    </xf>
    <xf numFmtId="0" fontId="14" fillId="0" borderId="8" xfId="0" applyFont="1" applyBorder="1" applyAlignment="1">
      <alignment vertical="top"/>
    </xf>
    <xf numFmtId="0" fontId="13" fillId="0" borderId="8" xfId="0" applyFont="1" applyBorder="1" applyAlignment="1">
      <alignment horizontal="left" vertical="center"/>
    </xf>
    <xf numFmtId="0" fontId="16" fillId="0" borderId="0" xfId="0" applyFont="1" applyAlignment="1">
      <alignment horizontal="center" vertical="center" textRotation="90"/>
    </xf>
    <xf numFmtId="0" fontId="16" fillId="0" borderId="10" xfId="0" applyFont="1" applyBorder="1" applyAlignment="1">
      <alignment horizontal="left" vertical="center" textRotation="90"/>
    </xf>
    <xf numFmtId="0" fontId="16" fillId="0" borderId="0" xfId="0" applyFont="1" applyAlignment="1">
      <alignment vertical="top"/>
    </xf>
    <xf numFmtId="0" fontId="16" fillId="0" borderId="0" xfId="0" applyFont="1" applyAlignment="1">
      <alignment horizontal="left" vertical="top"/>
    </xf>
    <xf numFmtId="0" fontId="16" fillId="0" borderId="4" xfId="0" applyFont="1" applyBorder="1" applyAlignment="1">
      <alignment horizontal="left" vertical="top"/>
    </xf>
    <xf numFmtId="0" fontId="16" fillId="0" borderId="10" xfId="0" applyFont="1" applyBorder="1" applyAlignment="1">
      <alignment vertical="top"/>
    </xf>
    <xf numFmtId="0" fontId="16" fillId="0" borderId="0" xfId="0" applyFont="1" applyAlignment="1">
      <alignment horizontal="left" vertical="center" textRotation="90"/>
    </xf>
    <xf numFmtId="0" fontId="5" fillId="0" borderId="1" xfId="0" applyFont="1" applyBorder="1" applyAlignment="1">
      <alignment horizontal="left"/>
    </xf>
    <xf numFmtId="0" fontId="3" fillId="0" borderId="1" xfId="0" applyFont="1" applyBorder="1" applyAlignment="1">
      <alignment horizontal="left"/>
    </xf>
    <xf numFmtId="0" fontId="5" fillId="0" borderId="0" xfId="0" applyFont="1" applyAlignment="1">
      <alignment horizontal="left"/>
    </xf>
    <xf numFmtId="0" fontId="3" fillId="0" borderId="0" xfId="0" applyFont="1" applyAlignment="1">
      <alignment horizontal="left"/>
    </xf>
    <xf numFmtId="0" fontId="7" fillId="0" borderId="1" xfId="0" applyFont="1" applyBorder="1" applyAlignment="1">
      <alignment horizontal="center" vertical="center"/>
    </xf>
    <xf numFmtId="0" fontId="5" fillId="0" borderId="0" xfId="0" applyFont="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vertical="center"/>
    </xf>
    <xf numFmtId="0" fontId="5" fillId="0" borderId="0" xfId="0" applyFont="1" applyAlignment="1">
      <alignment vertical="center"/>
    </xf>
    <xf numFmtId="0" fontId="5" fillId="0" borderId="0" xfId="0" applyFont="1" applyAlignment="1">
      <alignment horizontal="left" vertical="top"/>
    </xf>
    <xf numFmtId="0" fontId="11" fillId="0" borderId="0" xfId="0" applyFont="1" applyAlignment="1">
      <alignment horizontal="left"/>
    </xf>
    <xf numFmtId="0" fontId="5" fillId="0" borderId="12" xfId="0" applyFont="1" applyBorder="1" applyAlignment="1">
      <alignment vertical="center"/>
    </xf>
    <xf numFmtId="0" fontId="3" fillId="0" borderId="12" xfId="0" applyFont="1" applyBorder="1" applyAlignment="1">
      <alignment vertical="center"/>
    </xf>
    <xf numFmtId="0" fontId="11" fillId="0" borderId="12" xfId="0" applyFont="1" applyBorder="1" applyAlignment="1">
      <alignment vertical="center"/>
    </xf>
    <xf numFmtId="0" fontId="5" fillId="0" borderId="12" xfId="0" applyFont="1" applyBorder="1" applyAlignment="1">
      <alignment horizontal="left"/>
    </xf>
    <xf numFmtId="0" fontId="5" fillId="0" borderId="12" xfId="0" applyFont="1" applyBorder="1" applyAlignment="1">
      <alignment horizontal="left" vertical="top"/>
    </xf>
    <xf numFmtId="0" fontId="11" fillId="0" borderId="12" xfId="0" applyFont="1" applyBorder="1" applyAlignment="1">
      <alignment horizontal="left"/>
    </xf>
    <xf numFmtId="0" fontId="5" fillId="0" borderId="12" xfId="0" applyFont="1" applyBorder="1" applyAlignment="1">
      <alignment horizontal="left" vertical="center"/>
    </xf>
    <xf numFmtId="0" fontId="11" fillId="0" borderId="12" xfId="0" applyFont="1" applyBorder="1" applyAlignment="1">
      <alignment horizontal="left" vertical="center"/>
    </xf>
    <xf numFmtId="0" fontId="6" fillId="0" borderId="12" xfId="0" applyFont="1" applyBorder="1" applyAlignment="1">
      <alignment horizontal="left" vertical="center"/>
    </xf>
    <xf numFmtId="0" fontId="5" fillId="0" borderId="17" xfId="0" applyFont="1" applyBorder="1" applyAlignment="1">
      <alignment vertical="center"/>
    </xf>
    <xf numFmtId="0" fontId="5" fillId="0" borderId="17" xfId="0" applyFont="1" applyBorder="1" applyAlignment="1">
      <alignment horizontal="left"/>
    </xf>
    <xf numFmtId="0" fontId="5" fillId="0" borderId="17" xfId="0" applyFont="1" applyBorder="1" applyAlignment="1">
      <alignment horizontal="left" vertical="center"/>
    </xf>
    <xf numFmtId="0" fontId="3" fillId="0" borderId="17" xfId="0" applyFont="1" applyBorder="1" applyAlignment="1">
      <alignment horizontal="left" vertical="center"/>
    </xf>
    <xf numFmtId="0" fontId="5" fillId="0" borderId="17" xfId="0" quotePrefix="1" applyFont="1" applyBorder="1" applyAlignment="1">
      <alignment horizontal="left" vertical="top"/>
    </xf>
    <xf numFmtId="0" fontId="5" fillId="0" borderId="12" xfId="0" applyFont="1" applyBorder="1" applyAlignment="1">
      <alignment horizontal="center" vertical="center"/>
    </xf>
    <xf numFmtId="0" fontId="3" fillId="0" borderId="12" xfId="0" applyFont="1" applyBorder="1" applyAlignment="1">
      <alignment horizontal="center" vertical="center"/>
    </xf>
    <xf numFmtId="0" fontId="5" fillId="0" borderId="14" xfId="0" applyFont="1" applyBorder="1" applyAlignment="1">
      <alignment horizontal="center" vertical="center"/>
    </xf>
    <xf numFmtId="0" fontId="3" fillId="0" borderId="12" xfId="0" applyFont="1" applyBorder="1" applyAlignment="1">
      <alignment horizontal="left"/>
    </xf>
    <xf numFmtId="0" fontId="5" fillId="0" borderId="20" xfId="0" applyFont="1" applyBorder="1" applyAlignment="1">
      <alignment horizontal="left"/>
    </xf>
    <xf numFmtId="0" fontId="5" fillId="0" borderId="20" xfId="0" applyFont="1" applyBorder="1" applyAlignment="1">
      <alignment horizontal="left" vertical="top"/>
    </xf>
    <xf numFmtId="0" fontId="5" fillId="0" borderId="20" xfId="0" applyFont="1" applyBorder="1" applyAlignment="1">
      <alignment vertical="center"/>
    </xf>
    <xf numFmtId="0" fontId="5" fillId="0" borderId="20" xfId="0" applyFont="1" applyBorder="1" applyAlignment="1">
      <alignment vertical="top"/>
    </xf>
    <xf numFmtId="0" fontId="5" fillId="0" borderId="17" xfId="0" applyFont="1" applyBorder="1" applyAlignment="1">
      <alignment horizontal="center" vertical="center"/>
    </xf>
    <xf numFmtId="0" fontId="5" fillId="0" borderId="18" xfId="0" applyFont="1" applyBorder="1" applyAlignment="1">
      <alignment horizontal="center" vertical="center"/>
    </xf>
    <xf numFmtId="0" fontId="3" fillId="0" borderId="20" xfId="0" applyFont="1" applyBorder="1" applyAlignment="1">
      <alignment horizontal="left"/>
    </xf>
    <xf numFmtId="0" fontId="3" fillId="0" borderId="20" xfId="0" applyFont="1" applyBorder="1" applyAlignment="1">
      <alignment horizontal="left" vertical="top"/>
    </xf>
    <xf numFmtId="0" fontId="3" fillId="0" borderId="20" xfId="0" applyFont="1" applyBorder="1" applyAlignment="1">
      <alignment vertical="center"/>
    </xf>
    <xf numFmtId="0" fontId="3" fillId="0" borderId="20" xfId="0" applyFont="1" applyBorder="1" applyAlignment="1">
      <alignment vertical="top"/>
    </xf>
    <xf numFmtId="0" fontId="7" fillId="0" borderId="20" xfId="0" applyFont="1" applyBorder="1" applyAlignment="1">
      <alignment horizontal="left" vertical="top"/>
    </xf>
    <xf numFmtId="0" fontId="9" fillId="0" borderId="20" xfId="0" applyFont="1" applyBorder="1" applyAlignment="1">
      <alignment horizontal="left"/>
    </xf>
    <xf numFmtId="0" fontId="5" fillId="0" borderId="22" xfId="0" applyFont="1" applyBorder="1" applyAlignment="1">
      <alignment horizontal="left"/>
    </xf>
    <xf numFmtId="0" fontId="7" fillId="0" borderId="20" xfId="0" applyFont="1" applyBorder="1" applyAlignment="1">
      <alignment horizontal="center" vertical="top"/>
    </xf>
    <xf numFmtId="0" fontId="5" fillId="0" borderId="22" xfId="0" applyFont="1" applyBorder="1" applyAlignment="1">
      <alignment horizontal="left" vertical="center"/>
    </xf>
    <xf numFmtId="0" fontId="5" fillId="0" borderId="22" xfId="0" applyFont="1" applyBorder="1" applyAlignment="1">
      <alignment horizontal="left" vertical="top"/>
    </xf>
    <xf numFmtId="0" fontId="17" fillId="0" borderId="22" xfId="0" applyFont="1" applyBorder="1" applyAlignment="1">
      <alignment horizontal="left" vertical="center"/>
    </xf>
    <xf numFmtId="0" fontId="5" fillId="0" borderId="2" xfId="0" applyFont="1" applyBorder="1" applyAlignment="1">
      <alignment horizontal="left" vertical="center"/>
    </xf>
    <xf numFmtId="0" fontId="5" fillId="0" borderId="20" xfId="0" applyFont="1" applyBorder="1" applyAlignment="1">
      <alignment horizontal="center"/>
    </xf>
    <xf numFmtId="0" fontId="5" fillId="0" borderId="20" xfId="0" applyFont="1" applyBorder="1" applyAlignment="1">
      <alignment horizontal="center" vertical="center"/>
    </xf>
    <xf numFmtId="0" fontId="5" fillId="0" borderId="20" xfId="0" applyFont="1" applyBorder="1" applyAlignment="1">
      <alignment horizontal="center" vertical="top"/>
    </xf>
    <xf numFmtId="0" fontId="3" fillId="0" borderId="20" xfId="0" applyFont="1" applyBorder="1" applyAlignment="1">
      <alignment horizontal="center"/>
    </xf>
    <xf numFmtId="0" fontId="5" fillId="0" borderId="1" xfId="0" applyFont="1" applyBorder="1" applyAlignment="1">
      <alignment horizontal="center"/>
    </xf>
    <xf numFmtId="0" fontId="3" fillId="0" borderId="22" xfId="0" applyFont="1" applyBorder="1" applyAlignment="1">
      <alignment horizontal="center"/>
    </xf>
    <xf numFmtId="0" fontId="3" fillId="0" borderId="17" xfId="0" applyFont="1" applyBorder="1" applyAlignment="1">
      <alignment horizontal="center"/>
    </xf>
    <xf numFmtId="0" fontId="5" fillId="0" borderId="22" xfId="0" applyFont="1" applyBorder="1" applyAlignment="1">
      <alignment horizontal="center" vertical="center"/>
    </xf>
    <xf numFmtId="0" fontId="5" fillId="0" borderId="21" xfId="0" applyFont="1" applyBorder="1" applyAlignment="1">
      <alignment vertical="center"/>
    </xf>
    <xf numFmtId="0" fontId="5" fillId="0" borderId="18" xfId="0" applyFont="1" applyBorder="1" applyAlignment="1">
      <alignment vertical="center"/>
    </xf>
    <xf numFmtId="0" fontId="5" fillId="0" borderId="17" xfId="0" applyFont="1" applyBorder="1" applyAlignment="1">
      <alignment vertical="top"/>
    </xf>
    <xf numFmtId="0" fontId="5" fillId="0" borderId="0" xfId="0" applyFont="1" applyAlignment="1">
      <alignment horizontal="left" vertical="center"/>
    </xf>
    <xf numFmtId="0" fontId="11" fillId="0" borderId="0" xfId="0" applyFont="1" applyAlignment="1">
      <alignment vertical="center"/>
    </xf>
    <xf numFmtId="0" fontId="11" fillId="0" borderId="14" xfId="0" applyFont="1" applyBorder="1" applyAlignment="1">
      <alignment vertical="center"/>
    </xf>
    <xf numFmtId="0" fontId="1" fillId="0" borderId="13" xfId="1" applyFill="1" applyBorder="1" applyAlignment="1">
      <alignment vertical="center"/>
    </xf>
    <xf numFmtId="0" fontId="1" fillId="0" borderId="17" xfId="1" applyFill="1" applyBorder="1" applyAlignment="1">
      <alignment vertical="center"/>
    </xf>
    <xf numFmtId="0" fontId="5" fillId="0" borderId="0" xfId="0" applyFont="1" applyAlignment="1">
      <alignment vertical="top"/>
    </xf>
    <xf numFmtId="0" fontId="10" fillId="2" borderId="11" xfId="0" applyFont="1" applyFill="1" applyBorder="1" applyAlignment="1">
      <alignment horizontal="center" vertical="top"/>
    </xf>
    <xf numFmtId="0" fontId="10" fillId="2" borderId="16" xfId="0" applyFont="1" applyFill="1" applyBorder="1" applyAlignment="1">
      <alignment horizontal="center" vertical="top"/>
    </xf>
    <xf numFmtId="0" fontId="10" fillId="2" borderId="2" xfId="0" applyFont="1" applyFill="1" applyBorder="1" applyAlignment="1">
      <alignment horizontal="center" vertical="top"/>
    </xf>
    <xf numFmtId="0" fontId="10" fillId="2" borderId="3" xfId="0" applyFont="1" applyFill="1" applyBorder="1" applyAlignment="1">
      <alignment horizontal="center" vertical="top"/>
    </xf>
    <xf numFmtId="0" fontId="10" fillId="2" borderId="0" xfId="0" applyFont="1" applyFill="1" applyAlignment="1">
      <alignment horizontal="center" vertical="top"/>
    </xf>
    <xf numFmtId="0" fontId="10" fillId="2" borderId="1" xfId="0" applyFont="1" applyFill="1" applyBorder="1" applyAlignment="1">
      <alignment horizontal="center" vertical="top"/>
    </xf>
    <xf numFmtId="0" fontId="10" fillId="2" borderId="19" xfId="0" applyFont="1" applyFill="1" applyBorder="1" applyAlignment="1">
      <alignment horizontal="center" vertical="top"/>
    </xf>
    <xf numFmtId="0" fontId="5" fillId="0" borderId="0" xfId="0" applyFont="1" applyAlignment="1">
      <alignment horizontal="center" vertical="top"/>
    </xf>
    <xf numFmtId="2" fontId="5" fillId="0" borderId="1" xfId="0" applyNumberFormat="1" applyFont="1" applyBorder="1" applyAlignment="1">
      <alignment horizontal="left"/>
    </xf>
    <xf numFmtId="49" fontId="5" fillId="0" borderId="20" xfId="0" applyNumberFormat="1" applyFont="1" applyBorder="1" applyAlignment="1">
      <alignment horizontal="left" vertical="center"/>
    </xf>
    <xf numFmtId="49" fontId="5" fillId="0" borderId="0" xfId="0" applyNumberFormat="1" applyFont="1" applyAlignment="1">
      <alignment horizontal="left" vertical="center"/>
    </xf>
    <xf numFmtId="0" fontId="18" fillId="0" borderId="20" xfId="0" applyFont="1" applyBorder="1" applyAlignment="1">
      <alignment horizontal="center"/>
    </xf>
    <xf numFmtId="49" fontId="3" fillId="0" borderId="20" xfId="0" applyNumberFormat="1" applyFont="1" applyBorder="1" applyAlignment="1">
      <alignment horizontal="left"/>
    </xf>
    <xf numFmtId="0" fontId="1" fillId="0" borderId="20" xfId="1" applyBorder="1" applyAlignment="1">
      <alignment horizontal="center"/>
    </xf>
    <xf numFmtId="0" fontId="5" fillId="3" borderId="17" xfId="0" applyFont="1" applyFill="1" applyBorder="1" applyAlignment="1">
      <alignment horizontal="left" vertical="top"/>
    </xf>
    <xf numFmtId="0" fontId="9" fillId="0" borderId="0" xfId="0" applyFont="1" applyAlignment="1">
      <alignment horizontal="left"/>
    </xf>
    <xf numFmtId="0" fontId="9" fillId="0" borderId="0" xfId="0" applyFont="1" applyAlignment="1">
      <alignment horizontal="left" vertical="top"/>
    </xf>
    <xf numFmtId="0" fontId="11" fillId="0" borderId="12" xfId="0" applyFont="1" applyBorder="1" applyAlignment="1">
      <alignment horizontal="left" vertical="top"/>
    </xf>
    <xf numFmtId="2" fontId="10" fillId="2" borderId="19" xfId="0" applyNumberFormat="1" applyFont="1" applyFill="1" applyBorder="1" applyAlignment="1">
      <alignment horizontal="center" vertical="top"/>
    </xf>
    <xf numFmtId="0" fontId="5" fillId="0" borderId="20" xfId="0" applyFont="1" applyBorder="1"/>
    <xf numFmtId="0" fontId="1" fillId="0" borderId="0" xfId="1" applyAlignment="1"/>
    <xf numFmtId="0" fontId="1" fillId="0" borderId="0" xfId="1" applyFill="1" applyAlignment="1"/>
    <xf numFmtId="0" fontId="5" fillId="0" borderId="12" xfId="0" applyFont="1" applyBorder="1"/>
    <xf numFmtId="49" fontId="10" fillId="2" borderId="19" xfId="0" applyNumberFormat="1" applyFont="1" applyFill="1" applyBorder="1" applyAlignment="1">
      <alignment horizontal="center" vertical="top"/>
    </xf>
    <xf numFmtId="0" fontId="11" fillId="0" borderId="12" xfId="0" applyFont="1" applyBorder="1"/>
    <xf numFmtId="0" fontId="5" fillId="0" borderId="17" xfId="0" applyFont="1" applyBorder="1"/>
    <xf numFmtId="0" fontId="3" fillId="0" borderId="12" xfId="0" applyFont="1" applyBorder="1" applyAlignment="1">
      <alignment horizontal="left" vertical="center"/>
    </xf>
    <xf numFmtId="0" fontId="10" fillId="2" borderId="0" xfId="0" applyFont="1" applyFill="1" applyAlignment="1">
      <alignment horizontal="center" vertical="top" wrapText="1"/>
    </xf>
    <xf numFmtId="0" fontId="3" fillId="0" borderId="0" xfId="0" applyFont="1" applyAlignment="1">
      <alignment horizontal="left" wrapText="1"/>
    </xf>
    <xf numFmtId="0" fontId="3" fillId="5" borderId="13" xfId="0" applyFont="1" applyFill="1" applyBorder="1" applyAlignment="1">
      <alignment vertical="center" wrapText="1"/>
    </xf>
    <xf numFmtId="0" fontId="3" fillId="6" borderId="13" xfId="0" applyFont="1" applyFill="1" applyBorder="1" applyAlignment="1">
      <alignment vertical="center" wrapText="1"/>
    </xf>
    <xf numFmtId="0" fontId="3" fillId="6" borderId="13" xfId="0" applyFont="1" applyFill="1" applyBorder="1" applyAlignment="1">
      <alignment horizontal="left" wrapText="1"/>
    </xf>
    <xf numFmtId="0" fontId="3" fillId="7" borderId="13" xfId="0" applyFont="1" applyFill="1" applyBorder="1" applyAlignment="1">
      <alignment vertical="center" wrapText="1"/>
    </xf>
    <xf numFmtId="0" fontId="11" fillId="7" borderId="13" xfId="0" applyFont="1" applyFill="1" applyBorder="1" applyAlignment="1">
      <alignment vertical="center" wrapText="1"/>
    </xf>
    <xf numFmtId="0" fontId="3" fillId="7" borderId="13" xfId="0" applyFont="1" applyFill="1" applyBorder="1" applyAlignment="1">
      <alignment horizontal="left" wrapText="1"/>
    </xf>
    <xf numFmtId="0" fontId="11" fillId="7" borderId="13" xfId="0" applyFont="1" applyFill="1" applyBorder="1" applyAlignment="1">
      <alignment horizontal="left" wrapText="1"/>
    </xf>
    <xf numFmtId="0" fontId="5" fillId="7" borderId="13" xfId="0" applyFont="1" applyFill="1" applyBorder="1" applyAlignment="1">
      <alignment horizontal="left" wrapText="1"/>
    </xf>
    <xf numFmtId="0" fontId="5" fillId="7" borderId="13" xfId="0" applyFont="1" applyFill="1" applyBorder="1" applyAlignment="1">
      <alignment vertical="center" wrapText="1"/>
    </xf>
    <xf numFmtId="0" fontId="11" fillId="6" borderId="13" xfId="0" applyFont="1" applyFill="1" applyBorder="1" applyAlignment="1">
      <alignment horizontal="left" wrapText="1"/>
    </xf>
    <xf numFmtId="0" fontId="5" fillId="6" borderId="13" xfId="0" applyFont="1" applyFill="1" applyBorder="1" applyAlignment="1">
      <alignment vertical="center" wrapText="1"/>
    </xf>
    <xf numFmtId="0" fontId="7" fillId="6" borderId="13" xfId="0" applyFont="1" applyFill="1" applyBorder="1" applyAlignment="1">
      <alignment vertical="center" wrapText="1"/>
    </xf>
    <xf numFmtId="0" fontId="11" fillId="5" borderId="13" xfId="0" applyFont="1" applyFill="1" applyBorder="1" applyAlignment="1">
      <alignment horizontal="left" wrapText="1"/>
    </xf>
    <xf numFmtId="0" fontId="3" fillId="6" borderId="12" xfId="0" applyFont="1" applyFill="1" applyBorder="1" applyAlignment="1">
      <alignment vertical="center"/>
    </xf>
    <xf numFmtId="0" fontId="11" fillId="7" borderId="12" xfId="0" applyFont="1" applyFill="1" applyBorder="1" applyAlignment="1">
      <alignment vertical="center"/>
    </xf>
    <xf numFmtId="0" fontId="3" fillId="6" borderId="13" xfId="0" applyFont="1" applyFill="1" applyBorder="1" applyAlignment="1">
      <alignment vertical="center"/>
    </xf>
    <xf numFmtId="0" fontId="3" fillId="5" borderId="13" xfId="0" applyFont="1" applyFill="1" applyBorder="1" applyAlignment="1">
      <alignment vertical="center"/>
    </xf>
    <xf numFmtId="0" fontId="11" fillId="7" borderId="13" xfId="0" applyFont="1" applyFill="1" applyBorder="1" applyAlignment="1">
      <alignment vertical="center"/>
    </xf>
    <xf numFmtId="0" fontId="7" fillId="6" borderId="13" xfId="0" applyFont="1" applyFill="1" applyBorder="1" applyAlignment="1">
      <alignment vertical="center"/>
    </xf>
    <xf numFmtId="0" fontId="5" fillId="5" borderId="13" xfId="0" applyFont="1" applyFill="1" applyBorder="1" applyAlignment="1">
      <alignment horizontal="left" vertical="center"/>
    </xf>
    <xf numFmtId="0" fontId="5" fillId="6" borderId="13" xfId="0" applyFont="1" applyFill="1" applyBorder="1" applyAlignment="1">
      <alignment horizontal="left" vertical="center"/>
    </xf>
    <xf numFmtId="0" fontId="11" fillId="5" borderId="13" xfId="0" applyFont="1" applyFill="1" applyBorder="1" applyAlignment="1">
      <alignment vertical="center"/>
    </xf>
    <xf numFmtId="0" fontId="3" fillId="7" borderId="13" xfId="0" applyFont="1" applyFill="1" applyBorder="1" applyAlignment="1">
      <alignment vertical="center"/>
    </xf>
    <xf numFmtId="0" fontId="7" fillId="7" borderId="13" xfId="0" applyFont="1" applyFill="1" applyBorder="1" applyAlignment="1">
      <alignment vertical="center"/>
    </xf>
    <xf numFmtId="0" fontId="11" fillId="7" borderId="17" xfId="0" applyFont="1" applyFill="1" applyBorder="1" applyAlignment="1">
      <alignment vertical="center"/>
    </xf>
    <xf numFmtId="0" fontId="11" fillId="7" borderId="13" xfId="0" applyFont="1" applyFill="1" applyBorder="1"/>
    <xf numFmtId="0" fontId="3" fillId="7" borderId="0" xfId="0" applyFont="1" applyFill="1" applyAlignment="1">
      <alignment vertical="center"/>
    </xf>
    <xf numFmtId="0" fontId="11" fillId="7" borderId="13" xfId="0" applyFont="1" applyFill="1" applyBorder="1" applyAlignment="1">
      <alignment horizontal="left" vertical="top"/>
    </xf>
    <xf numFmtId="0" fontId="3" fillId="7" borderId="13" xfId="0" applyFont="1" applyFill="1" applyBorder="1" applyAlignment="1">
      <alignment horizontal="left" vertical="top"/>
    </xf>
    <xf numFmtId="0" fontId="19" fillId="6" borderId="13" xfId="0" applyFont="1" applyFill="1" applyBorder="1" applyAlignment="1">
      <alignment vertical="center"/>
    </xf>
    <xf numFmtId="0" fontId="3" fillId="6" borderId="13" xfId="0" applyFont="1" applyFill="1" applyBorder="1" applyAlignment="1">
      <alignment horizontal="left"/>
    </xf>
    <xf numFmtId="0" fontId="3" fillId="6" borderId="0" xfId="0" applyFont="1" applyFill="1" applyAlignment="1">
      <alignment vertical="center"/>
    </xf>
    <xf numFmtId="0" fontId="19" fillId="6" borderId="15" xfId="0" applyFont="1" applyFill="1" applyBorder="1" applyAlignment="1">
      <alignment vertical="center"/>
    </xf>
    <xf numFmtId="0" fontId="19" fillId="5" borderId="13" xfId="0" applyFont="1" applyFill="1" applyBorder="1" applyAlignment="1">
      <alignment vertical="center"/>
    </xf>
    <xf numFmtId="0" fontId="3" fillId="5" borderId="13" xfId="0" applyFont="1" applyFill="1" applyBorder="1" applyAlignment="1">
      <alignment horizontal="left" vertical="center"/>
    </xf>
    <xf numFmtId="0" fontId="3" fillId="5" borderId="13" xfId="0" applyFont="1" applyFill="1" applyBorder="1" applyAlignment="1">
      <alignment horizontal="left"/>
    </xf>
    <xf numFmtId="0" fontId="3" fillId="6" borderId="13" xfId="0" applyFont="1" applyFill="1" applyBorder="1" applyAlignment="1">
      <alignment horizontal="left" vertical="center"/>
    </xf>
    <xf numFmtId="0" fontId="3" fillId="7" borderId="13" xfId="0" applyFont="1" applyFill="1" applyBorder="1" applyAlignment="1">
      <alignment horizontal="left"/>
    </xf>
    <xf numFmtId="0" fontId="3" fillId="6" borderId="12" xfId="0" applyFont="1" applyFill="1" applyBorder="1" applyAlignment="1">
      <alignment horizontal="left"/>
    </xf>
    <xf numFmtId="0" fontId="7" fillId="5" borderId="13" xfId="0" applyFont="1" applyFill="1" applyBorder="1" applyAlignment="1">
      <alignment vertical="center"/>
    </xf>
    <xf numFmtId="0" fontId="3" fillId="5" borderId="13" xfId="0" applyFont="1" applyFill="1" applyBorder="1" applyAlignment="1">
      <alignment vertical="top"/>
    </xf>
    <xf numFmtId="0" fontId="3" fillId="7" borderId="13" xfId="0" applyFont="1" applyFill="1" applyBorder="1" applyAlignment="1">
      <alignment vertical="top"/>
    </xf>
    <xf numFmtId="0" fontId="5" fillId="5" borderId="13" xfId="0" applyFont="1" applyFill="1" applyBorder="1" applyAlignment="1">
      <alignment vertical="center"/>
    </xf>
    <xf numFmtId="0" fontId="11" fillId="7" borderId="13" xfId="0" applyFont="1" applyFill="1" applyBorder="1" applyAlignment="1">
      <alignment horizontal="left"/>
    </xf>
    <xf numFmtId="0" fontId="3" fillId="7" borderId="13" xfId="0" applyFont="1" applyFill="1" applyBorder="1" applyAlignment="1">
      <alignment horizontal="left" vertical="center"/>
    </xf>
    <xf numFmtId="0" fontId="3" fillId="8" borderId="13" xfId="0" applyFont="1" applyFill="1" applyBorder="1" applyAlignment="1">
      <alignment horizontal="left" vertical="center"/>
    </xf>
    <xf numFmtId="0" fontId="7" fillId="5" borderId="13" xfId="0" applyFont="1" applyFill="1" applyBorder="1" applyAlignment="1">
      <alignment horizontal="left"/>
    </xf>
    <xf numFmtId="0" fontId="7" fillId="6" borderId="13" xfId="0" applyFont="1" applyFill="1" applyBorder="1" applyAlignment="1">
      <alignment horizontal="left"/>
    </xf>
    <xf numFmtId="0" fontId="22" fillId="0" borderId="23" xfId="3" applyFont="1" applyBorder="1" applyAlignment="1" applyProtection="1">
      <alignment horizontal="left" vertical="top" wrapText="1"/>
      <protection locked="0"/>
    </xf>
    <xf numFmtId="0" fontId="21" fillId="0" borderId="23" xfId="0" applyFont="1" applyBorder="1" applyAlignment="1">
      <alignment horizontal="center" vertical="center" wrapText="1"/>
    </xf>
    <xf numFmtId="0" fontId="22" fillId="0" borderId="23" xfId="3" applyFont="1" applyBorder="1" applyAlignment="1" applyProtection="1">
      <alignment horizontal="left" vertical="center" wrapText="1"/>
      <protection locked="0"/>
    </xf>
    <xf numFmtId="0" fontId="22" fillId="0" borderId="23" xfId="0" applyFont="1" applyBorder="1" applyAlignment="1">
      <alignment horizontal="left" vertical="top" wrapText="1"/>
    </xf>
    <xf numFmtId="0" fontId="21" fillId="0" borderId="23" xfId="0" applyFont="1" applyBorder="1" applyAlignment="1">
      <alignment horizontal="left" vertical="center"/>
    </xf>
    <xf numFmtId="0" fontId="22" fillId="0" borderId="23" xfId="0" applyFont="1" applyBorder="1" applyAlignment="1">
      <alignment horizontal="left" vertical="center" wrapText="1"/>
    </xf>
    <xf numFmtId="0" fontId="21" fillId="0" borderId="24" xfId="0" applyFont="1" applyBorder="1" applyAlignment="1">
      <alignment horizontal="center" vertical="center" wrapText="1"/>
    </xf>
    <xf numFmtId="0" fontId="21" fillId="0" borderId="23" xfId="0" applyFont="1" applyBorder="1" applyAlignment="1">
      <alignment horizontal="left" vertical="top"/>
    </xf>
    <xf numFmtId="0" fontId="21" fillId="0" borderId="25" xfId="0" applyFont="1" applyBorder="1" applyAlignment="1">
      <alignment horizontal="center" vertical="center" wrapText="1"/>
    </xf>
    <xf numFmtId="0" fontId="21" fillId="0" borderId="23" xfId="0" applyFont="1" applyBorder="1" applyAlignment="1">
      <alignment horizontal="left" vertical="top" wrapText="1"/>
    </xf>
    <xf numFmtId="0" fontId="21" fillId="0" borderId="23" xfId="0" applyFont="1" applyBorder="1" applyAlignment="1">
      <alignment horizontal="left" vertical="center" wrapText="1"/>
    </xf>
    <xf numFmtId="0" fontId="21" fillId="0" borderId="2" xfId="0" applyFont="1" applyBorder="1" applyAlignment="1">
      <alignment horizontal="center" vertical="center" wrapText="1"/>
    </xf>
    <xf numFmtId="0" fontId="21" fillId="0" borderId="24" xfId="0" applyFont="1" applyBorder="1" applyAlignment="1">
      <alignment horizontal="left" vertical="top" wrapText="1"/>
    </xf>
    <xf numFmtId="0" fontId="21" fillId="0" borderId="24" xfId="0" applyFont="1" applyBorder="1" applyAlignment="1">
      <alignment horizontal="left" vertical="center" wrapText="1"/>
    </xf>
    <xf numFmtId="0" fontId="21" fillId="0" borderId="25" xfId="0" applyFont="1" applyBorder="1" applyAlignment="1">
      <alignment horizontal="left" vertical="top" wrapText="1"/>
    </xf>
    <xf numFmtId="0" fontId="0" fillId="0" borderId="0" xfId="0" applyAlignment="1">
      <alignment horizontal="left" vertical="center"/>
    </xf>
    <xf numFmtId="0" fontId="0" fillId="0" borderId="0" xfId="0" applyAlignment="1">
      <alignment horizontal="left" vertical="top"/>
    </xf>
    <xf numFmtId="0" fontId="13" fillId="6" borderId="8" xfId="0" applyFont="1" applyFill="1" applyBorder="1" applyAlignment="1">
      <alignment horizontal="left" vertical="top"/>
    </xf>
    <xf numFmtId="0" fontId="15" fillId="6" borderId="8" xfId="0" applyFont="1" applyFill="1" applyBorder="1" applyAlignment="1">
      <alignment horizontal="left" vertical="top"/>
    </xf>
    <xf numFmtId="0" fontId="22" fillId="0" borderId="24" xfId="3" applyFont="1" applyBorder="1" applyAlignment="1" applyProtection="1">
      <alignment horizontal="left" vertical="top" wrapText="1"/>
      <protection locked="0"/>
    </xf>
    <xf numFmtId="0" fontId="22" fillId="0" borderId="24" xfId="0" applyFont="1" applyBorder="1" applyAlignment="1">
      <alignment horizontal="left" vertical="top" wrapText="1"/>
    </xf>
    <xf numFmtId="0" fontId="22" fillId="0" borderId="24" xfId="0" applyFont="1" applyBorder="1" applyAlignment="1">
      <alignment horizontal="left" vertical="center" wrapText="1"/>
    </xf>
    <xf numFmtId="0" fontId="22" fillId="0" borderId="24" xfId="0" applyFont="1" applyBorder="1" applyAlignment="1" applyProtection="1">
      <alignment horizontal="left" vertical="top" wrapText="1"/>
      <protection locked="0"/>
    </xf>
    <xf numFmtId="0" fontId="23" fillId="0" borderId="27" xfId="0" applyFont="1" applyBorder="1" applyAlignment="1">
      <alignment horizontal="center" vertical="center" wrapText="1"/>
    </xf>
    <xf numFmtId="0" fontId="13" fillId="5" borderId="8" xfId="0" applyFont="1" applyFill="1" applyBorder="1" applyAlignment="1">
      <alignment horizontal="left" vertical="top"/>
    </xf>
    <xf numFmtId="0" fontId="13" fillId="0" borderId="8" xfId="0" applyFont="1" applyBorder="1" applyAlignment="1">
      <alignment horizontal="left" vertical="top" wrapText="1"/>
    </xf>
    <xf numFmtId="0" fontId="13" fillId="6" borderId="8" xfId="0" applyFont="1" applyFill="1" applyBorder="1" applyAlignment="1">
      <alignment horizontal="left" vertical="top" wrapText="1"/>
    </xf>
    <xf numFmtId="0" fontId="13" fillId="7" borderId="8" xfId="0" applyFont="1" applyFill="1" applyBorder="1" applyAlignment="1">
      <alignment horizontal="left" vertical="top"/>
    </xf>
    <xf numFmtId="0" fontId="15" fillId="7" borderId="8" xfId="0" applyFont="1" applyFill="1" applyBorder="1" applyAlignment="1">
      <alignment horizontal="left" vertical="top"/>
    </xf>
    <xf numFmtId="0" fontId="21" fillId="0" borderId="25" xfId="0" applyFont="1" applyBorder="1" applyAlignment="1">
      <alignment horizontal="left" vertical="center" wrapText="1"/>
    </xf>
    <xf numFmtId="0" fontId="15" fillId="5" borderId="8" xfId="0" applyFont="1" applyFill="1" applyBorder="1" applyAlignment="1">
      <alignment horizontal="left" vertical="top"/>
    </xf>
    <xf numFmtId="0" fontId="13" fillId="5" borderId="8" xfId="0" applyFont="1" applyFill="1" applyBorder="1" applyAlignment="1">
      <alignment horizontal="left" vertical="top" wrapText="1"/>
    </xf>
    <xf numFmtId="0" fontId="5" fillId="5" borderId="13" xfId="0" applyFont="1" applyFill="1" applyBorder="1" applyAlignment="1">
      <alignment horizontal="left" vertical="top" wrapText="1"/>
    </xf>
    <xf numFmtId="0" fontId="22" fillId="3" borderId="23" xfId="0" applyFont="1" applyFill="1" applyBorder="1" applyAlignment="1">
      <alignment horizontal="left" vertical="top" wrapText="1"/>
    </xf>
    <xf numFmtId="0" fontId="21" fillId="3" borderId="23" xfId="0" applyFont="1" applyFill="1" applyBorder="1" applyAlignment="1">
      <alignment horizontal="left" vertical="top" wrapText="1"/>
    </xf>
    <xf numFmtId="0" fontId="22" fillId="0" borderId="24" xfId="3" applyFont="1" applyBorder="1" applyAlignment="1" applyProtection="1">
      <alignment horizontal="left" vertical="center" wrapText="1"/>
      <protection locked="0"/>
    </xf>
    <xf numFmtId="0" fontId="21" fillId="0" borderId="28" xfId="0" applyFont="1" applyBorder="1" applyAlignment="1">
      <alignment horizontal="left" vertical="top" wrapText="1"/>
    </xf>
    <xf numFmtId="0" fontId="21" fillId="0" borderId="28" xfId="0" applyFont="1" applyBorder="1" applyAlignment="1">
      <alignment horizontal="left" vertical="center" wrapText="1"/>
    </xf>
    <xf numFmtId="0" fontId="21" fillId="0" borderId="30" xfId="0" applyFont="1" applyBorder="1" applyAlignment="1">
      <alignment horizontal="left" vertical="center" wrapText="1"/>
    </xf>
    <xf numFmtId="0" fontId="22" fillId="3" borderId="23" xfId="0" applyFont="1" applyFill="1" applyBorder="1" applyAlignment="1">
      <alignment horizontal="left" vertical="center" wrapText="1"/>
    </xf>
    <xf numFmtId="0" fontId="21" fillId="0" borderId="28" xfId="0" applyFont="1" applyBorder="1" applyAlignment="1">
      <alignment horizontal="left" vertical="center"/>
    </xf>
    <xf numFmtId="0" fontId="21" fillId="3" borderId="23" xfId="0" applyFont="1" applyFill="1" applyBorder="1" applyAlignment="1">
      <alignment horizontal="left" vertical="center" wrapText="1"/>
    </xf>
    <xf numFmtId="0" fontId="21" fillId="3" borderId="28" xfId="0" applyFont="1" applyFill="1" applyBorder="1" applyAlignment="1">
      <alignment horizontal="left" vertical="top" wrapText="1"/>
    </xf>
    <xf numFmtId="0" fontId="28" fillId="0" borderId="24" xfId="3" applyFont="1" applyBorder="1" applyAlignment="1" applyProtection="1">
      <alignment vertical="center"/>
      <protection locked="0"/>
    </xf>
    <xf numFmtId="0" fontId="24" fillId="0" borderId="24" xfId="0" applyFont="1" applyBorder="1" applyAlignment="1">
      <alignment vertical="center" wrapText="1"/>
    </xf>
    <xf numFmtId="0" fontId="24" fillId="0" borderId="2" xfId="0" applyFont="1" applyBorder="1" applyAlignment="1">
      <alignment horizontal="center" vertical="center" wrapText="1"/>
    </xf>
    <xf numFmtId="0" fontId="21" fillId="3" borderId="25" xfId="0" applyFont="1" applyFill="1" applyBorder="1" applyAlignment="1">
      <alignment horizontal="left" vertical="top" wrapText="1"/>
    </xf>
    <xf numFmtId="0" fontId="22" fillId="0" borderId="2" xfId="3" applyFont="1" applyBorder="1" applyAlignment="1" applyProtection="1">
      <alignment horizontal="left" vertical="top" wrapText="1"/>
      <protection locked="0"/>
    </xf>
    <xf numFmtId="0" fontId="21" fillId="0" borderId="0" xfId="0" applyFont="1" applyAlignment="1">
      <alignment wrapText="1"/>
    </xf>
    <xf numFmtId="0" fontId="21" fillId="0" borderId="23" xfId="0" applyFont="1" applyBorder="1" applyAlignment="1">
      <alignment wrapText="1"/>
    </xf>
    <xf numFmtId="0" fontId="24" fillId="0" borderId="0" xfId="0" applyFont="1"/>
    <xf numFmtId="0" fontId="6" fillId="3" borderId="23" xfId="0" applyFont="1" applyFill="1" applyBorder="1" applyAlignment="1">
      <alignment wrapText="1"/>
    </xf>
    <xf numFmtId="0" fontId="25" fillId="3" borderId="23" xfId="0" applyFont="1" applyFill="1" applyBorder="1" applyAlignment="1">
      <alignment horizontal="center"/>
    </xf>
    <xf numFmtId="0" fontId="6" fillId="0" borderId="23" xfId="0" applyFont="1" applyBorder="1" applyAlignment="1">
      <alignment wrapText="1"/>
    </xf>
    <xf numFmtId="0" fontId="23" fillId="0" borderId="28" xfId="0" applyFont="1" applyBorder="1" applyAlignment="1">
      <alignment horizontal="center" vertical="center" wrapText="1"/>
    </xf>
    <xf numFmtId="0" fontId="21" fillId="0" borderId="24" xfId="0" applyFont="1" applyBorder="1" applyAlignment="1">
      <alignment horizontal="left" vertical="center"/>
    </xf>
    <xf numFmtId="0" fontId="22" fillId="0" borderId="35" xfId="3" applyFont="1" applyBorder="1" applyAlignment="1" applyProtection="1">
      <alignment horizontal="left" vertical="top" wrapText="1"/>
      <protection locked="0"/>
    </xf>
    <xf numFmtId="0" fontId="21" fillId="0" borderId="35" xfId="0" applyFont="1" applyBorder="1" applyAlignment="1">
      <alignment horizontal="center" vertical="center" wrapText="1"/>
    </xf>
    <xf numFmtId="0" fontId="21" fillId="3" borderId="34" xfId="0" applyFont="1" applyFill="1" applyBorder="1" applyAlignment="1">
      <alignment horizontal="left" vertical="top" wrapText="1"/>
    </xf>
    <xf numFmtId="0" fontId="5" fillId="3" borderId="0" xfId="0" applyFont="1" applyFill="1" applyAlignment="1">
      <alignment vertical="center"/>
    </xf>
    <xf numFmtId="0" fontId="22" fillId="3" borderId="23" xfId="3" applyFont="1" applyFill="1" applyBorder="1" applyAlignment="1" applyProtection="1">
      <alignment horizontal="left" vertical="top" wrapText="1"/>
      <protection locked="0"/>
    </xf>
    <xf numFmtId="0" fontId="21" fillId="3" borderId="23" xfId="0" applyFont="1" applyFill="1" applyBorder="1" applyAlignment="1">
      <alignment horizontal="center" vertical="center" wrapText="1"/>
    </xf>
    <xf numFmtId="0" fontId="24" fillId="0" borderId="24" xfId="0" applyFont="1" applyBorder="1" applyAlignment="1">
      <alignment horizontal="left" vertical="center" wrapText="1"/>
    </xf>
    <xf numFmtId="0" fontId="13" fillId="3" borderId="23" xfId="0" applyFont="1" applyFill="1" applyBorder="1" applyAlignment="1">
      <alignment horizontal="left" vertical="top"/>
    </xf>
    <xf numFmtId="0" fontId="24" fillId="3" borderId="24" xfId="0" applyFont="1" applyFill="1" applyBorder="1" applyAlignment="1">
      <alignment vertical="center" wrapText="1"/>
    </xf>
    <xf numFmtId="0" fontId="0" fillId="3" borderId="0" xfId="0" applyFill="1"/>
    <xf numFmtId="0" fontId="21" fillId="0" borderId="26" xfId="0" applyFont="1" applyBorder="1" applyAlignment="1">
      <alignment horizontal="center" vertical="center" wrapText="1"/>
    </xf>
    <xf numFmtId="0" fontId="22" fillId="3" borderId="24" xfId="3" applyFont="1" applyFill="1" applyBorder="1" applyAlignment="1" applyProtection="1">
      <alignment horizontal="left" vertical="top" wrapText="1"/>
      <protection locked="0"/>
    </xf>
    <xf numFmtId="0" fontId="21" fillId="3" borderId="0" xfId="0" applyFont="1" applyFill="1" applyAlignment="1">
      <alignment horizontal="left" vertical="center" wrapText="1"/>
    </xf>
    <xf numFmtId="0" fontId="21" fillId="0" borderId="28" xfId="0" applyFont="1" applyBorder="1" applyAlignment="1">
      <alignment wrapText="1"/>
    </xf>
    <xf numFmtId="0" fontId="21" fillId="0" borderId="28" xfId="0" applyFont="1" applyBorder="1" applyAlignment="1">
      <alignment horizontal="center" vertical="center" wrapText="1"/>
    </xf>
    <xf numFmtId="0" fontId="22" fillId="0" borderId="25" xfId="3" applyFont="1" applyBorder="1" applyAlignment="1" applyProtection="1">
      <alignment horizontal="left" vertical="top" wrapText="1"/>
      <protection locked="0"/>
    </xf>
    <xf numFmtId="0" fontId="11" fillId="5" borderId="12" xfId="0" applyFont="1" applyFill="1" applyBorder="1" applyAlignment="1">
      <alignment vertical="center"/>
    </xf>
    <xf numFmtId="0" fontId="5" fillId="0" borderId="13" xfId="0" applyFont="1" applyBorder="1" applyAlignment="1">
      <alignment horizontal="left"/>
    </xf>
    <xf numFmtId="0" fontId="11" fillId="7" borderId="12" xfId="0" applyFont="1" applyFill="1" applyBorder="1" applyAlignment="1">
      <alignment horizontal="left" wrapText="1"/>
    </xf>
    <xf numFmtId="0" fontId="5" fillId="6" borderId="12" xfId="0" applyFont="1" applyFill="1" applyBorder="1" applyAlignment="1">
      <alignment horizontal="left" vertical="top" wrapText="1"/>
    </xf>
    <xf numFmtId="0" fontId="11" fillId="5" borderId="12" xfId="0" applyFont="1" applyFill="1" applyBorder="1" applyAlignment="1">
      <alignment horizontal="left" wrapText="1"/>
    </xf>
    <xf numFmtId="0" fontId="5" fillId="7" borderId="12" xfId="0" applyFont="1" applyFill="1" applyBorder="1" applyAlignment="1">
      <alignment horizontal="left" vertical="top" wrapText="1"/>
    </xf>
    <xf numFmtId="0" fontId="21" fillId="0" borderId="26" xfId="0" applyFont="1" applyBorder="1" applyAlignment="1">
      <alignment horizontal="left" vertical="top" wrapText="1"/>
    </xf>
    <xf numFmtId="0" fontId="0" fillId="0" borderId="34" xfId="0" applyBorder="1" applyAlignment="1">
      <alignment wrapText="1"/>
    </xf>
    <xf numFmtId="0" fontId="22" fillId="0" borderId="0" xfId="0" applyFont="1" applyAlignment="1" applyProtection="1">
      <alignment horizontal="left" vertical="top" wrapText="1"/>
      <protection locked="0"/>
    </xf>
    <xf numFmtId="0" fontId="23" fillId="0" borderId="29" xfId="0" applyFont="1" applyBorder="1" applyAlignment="1">
      <alignment horizontal="center" vertical="center" wrapText="1"/>
    </xf>
    <xf numFmtId="0" fontId="22" fillId="0" borderId="39" xfId="0" applyFont="1" applyBorder="1" applyAlignment="1" applyProtection="1">
      <alignment horizontal="left" vertical="top" wrapText="1"/>
      <protection locked="0"/>
    </xf>
    <xf numFmtId="0" fontId="22" fillId="0" borderId="28" xfId="0" applyFont="1" applyBorder="1" applyAlignment="1" applyProtection="1">
      <alignment horizontal="left" vertical="top" wrapText="1"/>
      <protection locked="0"/>
    </xf>
    <xf numFmtId="0" fontId="21" fillId="3" borderId="34" xfId="0" applyFont="1" applyFill="1" applyBorder="1" applyAlignment="1">
      <alignment horizontal="left" vertical="center"/>
    </xf>
    <xf numFmtId="0" fontId="21" fillId="3" borderId="28" xfId="0" applyFont="1" applyFill="1" applyBorder="1" applyAlignment="1">
      <alignment wrapText="1"/>
    </xf>
    <xf numFmtId="0" fontId="22" fillId="3" borderId="39" xfId="0" applyFont="1" applyFill="1" applyBorder="1" applyAlignment="1" applyProtection="1">
      <alignment horizontal="left" vertical="top" wrapText="1"/>
      <protection locked="0"/>
    </xf>
    <xf numFmtId="0" fontId="23" fillId="0" borderId="36" xfId="0" applyFont="1" applyBorder="1" applyAlignment="1">
      <alignment horizontal="center" vertical="center" wrapText="1"/>
    </xf>
    <xf numFmtId="0" fontId="21" fillId="3" borderId="37" xfId="0" applyFont="1" applyFill="1" applyBorder="1" applyAlignment="1">
      <alignment wrapText="1"/>
    </xf>
    <xf numFmtId="0" fontId="22" fillId="3" borderId="28" xfId="0" applyFont="1" applyFill="1" applyBorder="1" applyAlignment="1" applyProtection="1">
      <alignment horizontal="left" vertical="top" wrapText="1"/>
      <protection locked="0"/>
    </xf>
    <xf numFmtId="0" fontId="23" fillId="0" borderId="33" xfId="0" applyFont="1" applyBorder="1" applyAlignment="1">
      <alignment horizontal="center" vertical="center" wrapText="1"/>
    </xf>
    <xf numFmtId="0" fontId="21" fillId="3" borderId="30" xfId="0" applyFont="1" applyFill="1" applyBorder="1" applyAlignment="1">
      <alignment wrapText="1"/>
    </xf>
    <xf numFmtId="0" fontId="22" fillId="3" borderId="28" xfId="0" applyFont="1" applyFill="1" applyBorder="1" applyAlignment="1">
      <alignment wrapText="1"/>
    </xf>
    <xf numFmtId="0" fontId="0" fillId="0" borderId="23" xfId="0" applyBorder="1" applyAlignment="1">
      <alignment horizontal="center" wrapText="1"/>
    </xf>
    <xf numFmtId="0" fontId="0" fillId="0" borderId="23" xfId="0" applyBorder="1" applyAlignment="1">
      <alignment horizontal="center"/>
    </xf>
    <xf numFmtId="0" fontId="33" fillId="14" borderId="40" xfId="0" applyFont="1" applyFill="1" applyBorder="1" applyAlignment="1">
      <alignment wrapText="1"/>
    </xf>
    <xf numFmtId="0" fontId="24" fillId="0" borderId="34" xfId="0" applyFont="1" applyBorder="1" applyAlignment="1">
      <alignment wrapText="1"/>
    </xf>
    <xf numFmtId="0" fontId="33" fillId="14" borderId="46" xfId="0" applyFont="1" applyFill="1" applyBorder="1" applyAlignment="1">
      <alignment wrapText="1"/>
    </xf>
    <xf numFmtId="0" fontId="22" fillId="0" borderId="26" xfId="3" applyFont="1" applyBorder="1" applyAlignment="1" applyProtection="1">
      <alignment horizontal="left" vertical="top" wrapText="1"/>
      <protection locked="0"/>
    </xf>
    <xf numFmtId="0" fontId="22" fillId="0" borderId="26" xfId="0" applyFont="1" applyBorder="1" applyAlignment="1">
      <alignment horizontal="left" vertical="top" wrapText="1"/>
    </xf>
    <xf numFmtId="0" fontId="22" fillId="0" borderId="32" xfId="0" applyFont="1" applyBorder="1" applyAlignment="1">
      <alignment horizontal="left" vertical="top" wrapText="1"/>
    </xf>
    <xf numFmtId="0" fontId="22" fillId="3" borderId="32" xfId="0" applyFont="1" applyFill="1" applyBorder="1" applyAlignment="1">
      <alignment horizontal="left" vertical="top" wrapText="1"/>
    </xf>
    <xf numFmtId="0" fontId="21" fillId="3" borderId="26" xfId="0" applyFont="1" applyFill="1" applyBorder="1" applyAlignment="1">
      <alignment horizontal="left" vertical="top" wrapText="1"/>
    </xf>
    <xf numFmtId="0" fontId="21" fillId="0" borderId="37" xfId="0" applyFont="1" applyBorder="1" applyAlignment="1">
      <alignment horizontal="left" vertical="top" wrapText="1"/>
    </xf>
    <xf numFmtId="0" fontId="22" fillId="0" borderId="31" xfId="0" applyFont="1" applyBorder="1" applyAlignment="1">
      <alignment horizontal="left" vertical="top" wrapText="1"/>
    </xf>
    <xf numFmtId="0" fontId="21" fillId="0" borderId="31" xfId="0" applyFont="1" applyBorder="1" applyAlignment="1">
      <alignment horizontal="left" vertical="top" wrapText="1"/>
    </xf>
    <xf numFmtId="0" fontId="21" fillId="3" borderId="32" xfId="0" applyFont="1" applyFill="1" applyBorder="1" applyAlignment="1">
      <alignment horizontal="left" vertical="top" wrapText="1"/>
    </xf>
    <xf numFmtId="0" fontId="31" fillId="0" borderId="37" xfId="0" applyFont="1" applyBorder="1" applyAlignment="1">
      <alignment wrapText="1"/>
    </xf>
    <xf numFmtId="0" fontId="0" fillId="3" borderId="38" xfId="0" applyFill="1" applyBorder="1" applyAlignment="1">
      <alignment wrapText="1"/>
    </xf>
    <xf numFmtId="0" fontId="0" fillId="0" borderId="37" xfId="0" applyBorder="1" applyAlignment="1">
      <alignment wrapText="1"/>
    </xf>
    <xf numFmtId="0" fontId="32" fillId="3" borderId="37" xfId="0" applyFont="1" applyFill="1" applyBorder="1" applyAlignment="1">
      <alignment wrapText="1"/>
    </xf>
    <xf numFmtId="0" fontId="0" fillId="3" borderId="37" xfId="0" applyFill="1" applyBorder="1" applyAlignment="1">
      <alignment wrapText="1"/>
    </xf>
    <xf numFmtId="0" fontId="0" fillId="3" borderId="48" xfId="0" applyFill="1" applyBorder="1" applyAlignment="1">
      <alignment wrapText="1"/>
    </xf>
    <xf numFmtId="0" fontId="21" fillId="3" borderId="38" xfId="0" applyFont="1" applyFill="1" applyBorder="1" applyAlignment="1">
      <alignment horizontal="left" vertical="top" wrapText="1"/>
    </xf>
    <xf numFmtId="0" fontId="0" fillId="3" borderId="47" xfId="0" applyFill="1" applyBorder="1" applyAlignment="1">
      <alignment wrapText="1"/>
    </xf>
    <xf numFmtId="0" fontId="27" fillId="0" borderId="23" xfId="0" applyFont="1" applyBorder="1" applyAlignment="1">
      <alignment wrapText="1"/>
    </xf>
    <xf numFmtId="0" fontId="23" fillId="0" borderId="23" xfId="0" applyFont="1" applyBorder="1" applyAlignment="1">
      <alignment horizontal="center" vertical="center" wrapText="1"/>
    </xf>
    <xf numFmtId="0" fontId="33" fillId="14" borderId="0" xfId="0" applyFont="1" applyFill="1" applyAlignment="1">
      <alignment wrapText="1"/>
    </xf>
    <xf numFmtId="0" fontId="28" fillId="0" borderId="23" xfId="3" applyFont="1" applyBorder="1" applyAlignment="1" applyProtection="1">
      <alignment vertical="center"/>
      <protection locked="0"/>
    </xf>
    <xf numFmtId="0" fontId="22" fillId="0" borderId="23" xfId="0" applyFont="1" applyBorder="1" applyAlignment="1" applyProtection="1">
      <alignment horizontal="left" vertical="top" wrapText="1"/>
      <protection locked="0"/>
    </xf>
    <xf numFmtId="0" fontId="28" fillId="3" borderId="23" xfId="3" applyFont="1" applyFill="1" applyBorder="1" applyAlignment="1" applyProtection="1">
      <alignment vertical="center"/>
      <protection locked="0"/>
    </xf>
    <xf numFmtId="0" fontId="22" fillId="3" borderId="23" xfId="0" applyFont="1" applyFill="1" applyBorder="1" applyAlignment="1" applyProtection="1">
      <alignment horizontal="left" vertical="top" wrapText="1"/>
      <protection locked="0"/>
    </xf>
    <xf numFmtId="0" fontId="24" fillId="0" borderId="23" xfId="0" applyFont="1" applyBorder="1" applyAlignment="1">
      <alignment horizontal="center" vertical="center" wrapText="1"/>
    </xf>
    <xf numFmtId="0" fontId="0" fillId="0" borderId="23" xfId="0" applyBorder="1" applyAlignment="1">
      <alignment wrapText="1"/>
    </xf>
    <xf numFmtId="0" fontId="0" fillId="0" borderId="23" xfId="0" applyBorder="1" applyAlignment="1">
      <alignment horizontal="left" vertical="top" wrapText="1"/>
    </xf>
    <xf numFmtId="0" fontId="3" fillId="3" borderId="23" xfId="0" applyFont="1" applyFill="1" applyBorder="1" applyAlignment="1">
      <alignment wrapText="1"/>
    </xf>
    <xf numFmtId="0" fontId="21" fillId="3" borderId="34" xfId="0" applyFont="1" applyFill="1" applyBorder="1" applyAlignment="1">
      <alignment wrapText="1"/>
    </xf>
    <xf numFmtId="0" fontId="22" fillId="3" borderId="0" xfId="0" applyFont="1" applyFill="1" applyAlignment="1" applyProtection="1">
      <alignment horizontal="left" vertical="top" wrapText="1"/>
      <protection locked="0"/>
    </xf>
    <xf numFmtId="0" fontId="24" fillId="0" borderId="23" xfId="0" applyFont="1" applyBorder="1" applyAlignment="1">
      <alignment wrapText="1"/>
    </xf>
    <xf numFmtId="0" fontId="0" fillId="3" borderId="23" xfId="0" applyFill="1" applyBorder="1" applyAlignment="1">
      <alignment wrapText="1"/>
    </xf>
    <xf numFmtId="0" fontId="22" fillId="3" borderId="23" xfId="0" applyFont="1" applyFill="1" applyBorder="1" applyAlignment="1">
      <alignment wrapText="1"/>
    </xf>
    <xf numFmtId="0" fontId="32" fillId="3" borderId="23" xfId="0" applyFont="1" applyFill="1" applyBorder="1" applyAlignment="1">
      <alignment wrapText="1"/>
    </xf>
    <xf numFmtId="0" fontId="28" fillId="0" borderId="23" xfId="3" applyFont="1" applyBorder="1" applyAlignment="1" applyProtection="1">
      <alignment vertical="center" wrapText="1"/>
      <protection locked="0"/>
    </xf>
    <xf numFmtId="0" fontId="24" fillId="0" borderId="24" xfId="0" applyFont="1" applyBorder="1" applyAlignment="1">
      <alignment horizontal="center" vertical="center" wrapText="1"/>
    </xf>
    <xf numFmtId="0" fontId="21" fillId="3" borderId="24" xfId="0" applyFont="1" applyFill="1" applyBorder="1" applyAlignment="1">
      <alignment horizontal="left" vertical="top" wrapText="1"/>
    </xf>
    <xf numFmtId="0" fontId="22" fillId="0" borderId="25" xfId="0" applyFont="1" applyBorder="1" applyAlignment="1">
      <alignment horizontal="left" vertical="top" wrapText="1"/>
    </xf>
    <xf numFmtId="0" fontId="21" fillId="0" borderId="29" xfId="0" applyFont="1" applyBorder="1" applyAlignment="1">
      <alignment horizontal="left" vertical="top" wrapText="1"/>
    </xf>
    <xf numFmtId="0" fontId="22" fillId="0" borderId="3" xfId="3" applyFont="1" applyBorder="1" applyAlignment="1" applyProtection="1">
      <alignment horizontal="left" vertical="top" wrapText="1"/>
      <protection locked="0"/>
    </xf>
    <xf numFmtId="0" fontId="21" fillId="0" borderId="30" xfId="0" applyFont="1" applyBorder="1" applyAlignment="1">
      <alignment horizontal="left" vertical="top" wrapText="1"/>
    </xf>
    <xf numFmtId="0" fontId="24" fillId="0" borderId="30" xfId="0" applyFont="1" applyBorder="1" applyAlignment="1">
      <alignment horizontal="center" wrapText="1"/>
    </xf>
    <xf numFmtId="0" fontId="21" fillId="0" borderId="27" xfId="0" applyFont="1" applyBorder="1" applyAlignment="1">
      <alignment horizontal="center" wrapText="1"/>
    </xf>
    <xf numFmtId="0" fontId="29" fillId="0" borderId="29" xfId="0" applyFont="1" applyBorder="1" applyAlignment="1">
      <alignment vertical="center" wrapText="1"/>
    </xf>
    <xf numFmtId="0" fontId="27" fillId="0" borderId="29" xfId="0" applyFont="1" applyBorder="1" applyAlignment="1">
      <alignment wrapText="1"/>
    </xf>
    <xf numFmtId="0" fontId="21" fillId="0" borderId="34" xfId="0" applyFont="1" applyBorder="1" applyAlignment="1">
      <alignment horizontal="left" vertical="top" wrapText="1"/>
    </xf>
    <xf numFmtId="0" fontId="21" fillId="0" borderId="34" xfId="0" applyFont="1" applyBorder="1" applyAlignment="1">
      <alignment horizontal="left" vertical="center"/>
    </xf>
    <xf numFmtId="0" fontId="21" fillId="0" borderId="38" xfId="0" applyFont="1" applyBorder="1" applyAlignment="1">
      <alignment horizontal="left" vertical="top" wrapText="1"/>
    </xf>
    <xf numFmtId="0" fontId="21" fillId="0" borderId="28" xfId="0" applyFont="1" applyBorder="1" applyAlignment="1">
      <alignment vertical="top" wrapText="1"/>
    </xf>
    <xf numFmtId="0" fontId="13" fillId="3" borderId="23" xfId="0" applyFont="1" applyFill="1" applyBorder="1" applyAlignment="1">
      <alignment horizontal="left" vertical="top" wrapText="1"/>
    </xf>
    <xf numFmtId="0" fontId="27" fillId="3" borderId="23" xfId="0" applyFont="1" applyFill="1" applyBorder="1" applyAlignment="1">
      <alignment wrapText="1"/>
    </xf>
    <xf numFmtId="0" fontId="22" fillId="7" borderId="23" xfId="3" applyFont="1" applyFill="1" applyBorder="1" applyAlignment="1" applyProtection="1">
      <alignment horizontal="left" vertical="top" wrapText="1"/>
      <protection locked="0"/>
    </xf>
    <xf numFmtId="0" fontId="21" fillId="7" borderId="23" xfId="0" applyFont="1" applyFill="1" applyBorder="1" applyAlignment="1">
      <alignment horizontal="left" vertical="top" wrapText="1"/>
    </xf>
    <xf numFmtId="0" fontId="21" fillId="7" borderId="23" xfId="0" applyFont="1" applyFill="1" applyBorder="1" applyAlignment="1">
      <alignment horizontal="center" vertical="center" wrapText="1"/>
    </xf>
    <xf numFmtId="0" fontId="21" fillId="7" borderId="24" xfId="0" applyFont="1" applyFill="1" applyBorder="1" applyAlignment="1">
      <alignment horizontal="left" vertical="center" wrapText="1"/>
    </xf>
    <xf numFmtId="0" fontId="21" fillId="7" borderId="26" xfId="0" applyFont="1" applyFill="1" applyBorder="1" applyAlignment="1">
      <alignment horizontal="left" vertical="top" wrapText="1"/>
    </xf>
    <xf numFmtId="0" fontId="21" fillId="3" borderId="2" xfId="0" applyFont="1" applyFill="1" applyBorder="1" applyAlignment="1">
      <alignment horizontal="left" vertical="top" wrapText="1"/>
    </xf>
    <xf numFmtId="0" fontId="23" fillId="3" borderId="23" xfId="0" applyFont="1" applyFill="1" applyBorder="1" applyAlignment="1">
      <alignment horizontal="left" vertical="top" wrapText="1"/>
    </xf>
    <xf numFmtId="0" fontId="21" fillId="3" borderId="37" xfId="0" applyFont="1" applyFill="1" applyBorder="1" applyAlignment="1">
      <alignment horizontal="left" vertical="top" wrapText="1"/>
    </xf>
    <xf numFmtId="0" fontId="23" fillId="3" borderId="23" xfId="0" applyFont="1" applyFill="1" applyBorder="1" applyAlignment="1">
      <alignment horizontal="center" vertical="center" wrapText="1"/>
    </xf>
    <xf numFmtId="0" fontId="21" fillId="3" borderId="31" xfId="0" applyFont="1" applyFill="1" applyBorder="1" applyAlignment="1">
      <alignment horizontal="left" vertical="top" wrapText="1"/>
    </xf>
    <xf numFmtId="0" fontId="22" fillId="3" borderId="37" xfId="0" applyFont="1" applyFill="1" applyBorder="1" applyAlignment="1">
      <alignment horizontal="left" vertical="top" wrapText="1"/>
    </xf>
    <xf numFmtId="0" fontId="22" fillId="3" borderId="28" xfId="0" applyFont="1" applyFill="1" applyBorder="1" applyAlignment="1">
      <alignment horizontal="left" vertical="center" wrapText="1"/>
    </xf>
    <xf numFmtId="0" fontId="22" fillId="3" borderId="45" xfId="0" applyFont="1" applyFill="1" applyBorder="1" applyAlignment="1">
      <alignment horizontal="left" vertical="top" wrapText="1"/>
    </xf>
    <xf numFmtId="0" fontId="21" fillId="3" borderId="32" xfId="0" applyFont="1" applyFill="1" applyBorder="1" applyAlignment="1">
      <alignment horizontal="center" vertical="center" wrapText="1"/>
    </xf>
    <xf numFmtId="0" fontId="22" fillId="3" borderId="28" xfId="0" applyFont="1" applyFill="1" applyBorder="1" applyAlignment="1">
      <alignment horizontal="left" vertical="top" wrapText="1"/>
    </xf>
    <xf numFmtId="0" fontId="22" fillId="3" borderId="27" xfId="0" applyFont="1" applyFill="1" applyBorder="1" applyAlignment="1">
      <alignment horizontal="left" vertical="center" wrapText="1"/>
    </xf>
    <xf numFmtId="0" fontId="22" fillId="3" borderId="0" xfId="0" applyFont="1" applyFill="1" applyAlignment="1">
      <alignment horizontal="left" vertical="center" wrapText="1"/>
    </xf>
    <xf numFmtId="0" fontId="21" fillId="0" borderId="2" xfId="0" applyFont="1" applyBorder="1" applyAlignment="1">
      <alignment horizontal="left" vertical="top" wrapText="1"/>
    </xf>
    <xf numFmtId="0" fontId="21" fillId="0" borderId="0" xfId="0" applyFont="1" applyAlignment="1">
      <alignment horizontal="left" vertical="top" wrapText="1"/>
    </xf>
    <xf numFmtId="0" fontId="0" fillId="0" borderId="0" xfId="0" applyAlignment="1">
      <alignment wrapText="1"/>
    </xf>
    <xf numFmtId="0" fontId="5" fillId="0" borderId="0" xfId="0" applyFont="1" applyAlignment="1">
      <alignment vertical="center" wrapText="1"/>
    </xf>
    <xf numFmtId="0" fontId="5" fillId="3" borderId="0" xfId="0" applyFont="1" applyFill="1" applyAlignment="1">
      <alignment vertical="center" wrapText="1"/>
    </xf>
    <xf numFmtId="0" fontId="0" fillId="3" borderId="0" xfId="0" applyFill="1" applyAlignment="1">
      <alignment wrapText="1"/>
    </xf>
    <xf numFmtId="0" fontId="22" fillId="0" borderId="0" xfId="3" applyFont="1" applyAlignment="1" applyProtection="1">
      <alignment horizontal="left" vertical="top" wrapText="1"/>
      <protection locked="0"/>
    </xf>
    <xf numFmtId="0" fontId="28" fillId="15" borderId="24" xfId="3" applyFont="1" applyFill="1" applyBorder="1" applyAlignment="1" applyProtection="1">
      <alignment vertical="center"/>
      <protection locked="0"/>
    </xf>
    <xf numFmtId="0" fontId="22" fillId="15" borderId="24" xfId="0" applyFont="1" applyFill="1" applyBorder="1" applyAlignment="1" applyProtection="1">
      <alignment horizontal="left" vertical="top" wrapText="1"/>
      <protection locked="0"/>
    </xf>
    <xf numFmtId="0" fontId="22" fillId="15" borderId="23" xfId="3" applyFont="1" applyFill="1" applyBorder="1" applyAlignment="1" applyProtection="1">
      <alignment horizontal="left" vertical="top" wrapText="1"/>
      <protection locked="0"/>
    </xf>
    <xf numFmtId="0" fontId="23" fillId="15" borderId="27" xfId="0" applyFont="1" applyFill="1" applyBorder="1" applyAlignment="1">
      <alignment horizontal="center" vertical="center" wrapText="1"/>
    </xf>
    <xf numFmtId="0" fontId="21" fillId="15" borderId="23" xfId="0" applyFont="1" applyFill="1" applyBorder="1" applyAlignment="1">
      <alignment horizontal="center" vertical="center" wrapText="1"/>
    </xf>
    <xf numFmtId="0" fontId="22" fillId="15" borderId="23" xfId="0" applyFont="1" applyFill="1" applyBorder="1" applyAlignment="1">
      <alignment horizontal="left" vertical="top" wrapText="1"/>
    </xf>
    <xf numFmtId="0" fontId="22" fillId="15" borderId="24" xfId="0" applyFont="1" applyFill="1" applyBorder="1" applyAlignment="1">
      <alignment horizontal="left" vertical="center" wrapText="1"/>
    </xf>
    <xf numFmtId="0" fontId="6" fillId="16" borderId="49" xfId="0" applyFont="1" applyFill="1" applyBorder="1" applyAlignment="1">
      <alignment wrapText="1"/>
    </xf>
    <xf numFmtId="0" fontId="22" fillId="15" borderId="0" xfId="3" applyFont="1" applyFill="1" applyAlignment="1" applyProtection="1">
      <alignment horizontal="left" vertical="top" wrapText="1"/>
      <protection locked="0"/>
    </xf>
    <xf numFmtId="0" fontId="5" fillId="15" borderId="0" xfId="0" applyFont="1" applyFill="1" applyAlignment="1">
      <alignment vertical="center" wrapText="1"/>
    </xf>
    <xf numFmtId="0" fontId="5" fillId="15" borderId="0" xfId="0" applyFont="1" applyFill="1" applyAlignment="1">
      <alignment vertical="center"/>
    </xf>
    <xf numFmtId="0" fontId="22" fillId="15" borderId="23" xfId="3" applyFont="1" applyFill="1" applyBorder="1" applyAlignment="1" applyProtection="1">
      <alignment horizontal="left" vertical="center" wrapText="1"/>
      <protection locked="0"/>
    </xf>
    <xf numFmtId="0" fontId="21" fillId="15" borderId="26" xfId="0" applyFont="1" applyFill="1" applyBorder="1" applyAlignment="1">
      <alignment horizontal="left" vertical="top" wrapText="1"/>
    </xf>
    <xf numFmtId="0" fontId="22" fillId="0" borderId="32" xfId="3" applyFont="1" applyBorder="1" applyAlignment="1" applyProtection="1">
      <alignment horizontal="left" vertical="top" wrapText="1"/>
      <protection locked="0"/>
    </xf>
    <xf numFmtId="0" fontId="35" fillId="0" borderId="0" xfId="0" applyFont="1"/>
    <xf numFmtId="0" fontId="21" fillId="6" borderId="0" xfId="0" applyFont="1" applyFill="1" applyAlignment="1">
      <alignment wrapText="1"/>
    </xf>
    <xf numFmtId="0" fontId="21" fillId="6" borderId="23" xfId="0" applyFont="1" applyFill="1" applyBorder="1" applyAlignment="1">
      <alignment horizontal="left" vertical="top" wrapText="1"/>
    </xf>
    <xf numFmtId="0" fontId="21" fillId="6" borderId="23" xfId="0" applyFont="1" applyFill="1" applyBorder="1" applyAlignment="1">
      <alignment horizontal="center" vertical="center" wrapText="1"/>
    </xf>
    <xf numFmtId="0" fontId="23" fillId="6" borderId="23" xfId="0" applyFont="1" applyFill="1" applyBorder="1" applyAlignment="1">
      <alignment horizontal="left" vertical="top" wrapText="1"/>
    </xf>
    <xf numFmtId="0" fontId="22" fillId="6" borderId="0" xfId="3" applyFont="1" applyFill="1" applyAlignment="1" applyProtection="1">
      <alignment horizontal="left" vertical="top" wrapText="1"/>
      <protection locked="0"/>
    </xf>
    <xf numFmtId="0" fontId="0" fillId="6" borderId="0" xfId="0" applyFill="1" applyAlignment="1">
      <alignment wrapText="1"/>
    </xf>
    <xf numFmtId="0" fontId="0" fillId="6" borderId="0" xfId="0" applyFill="1"/>
    <xf numFmtId="0" fontId="36" fillId="17" borderId="0" xfId="0" applyFont="1" applyFill="1"/>
    <xf numFmtId="0" fontId="36" fillId="0" borderId="0" xfId="0" applyFont="1"/>
    <xf numFmtId="0" fontId="36" fillId="6" borderId="0" xfId="0" applyFont="1" applyFill="1"/>
    <xf numFmtId="0" fontId="24" fillId="15" borderId="23" xfId="0" applyFont="1" applyFill="1" applyBorder="1" applyAlignment="1">
      <alignment horizontal="center" vertical="center" wrapText="1"/>
    </xf>
    <xf numFmtId="0" fontId="21" fillId="15" borderId="23" xfId="0" applyFont="1" applyFill="1" applyBorder="1" applyAlignment="1">
      <alignment horizontal="left" vertical="top" wrapText="1"/>
    </xf>
    <xf numFmtId="0" fontId="21" fillId="15" borderId="23" xfId="0" applyFont="1" applyFill="1" applyBorder="1" applyAlignment="1">
      <alignment horizontal="left" vertical="center" wrapText="1"/>
    </xf>
    <xf numFmtId="0" fontId="0" fillId="15" borderId="0" xfId="0" applyFill="1" applyAlignment="1">
      <alignment wrapText="1"/>
    </xf>
    <xf numFmtId="0" fontId="0" fillId="15" borderId="0" xfId="0" applyFill="1"/>
    <xf numFmtId="0" fontId="24" fillId="0" borderId="30" xfId="0" applyFont="1" applyBorder="1" applyAlignment="1">
      <alignment horizontal="center" wrapText="1"/>
    </xf>
    <xf numFmtId="0" fontId="24" fillId="0" borderId="34" xfId="0" applyFont="1" applyBorder="1" applyAlignment="1">
      <alignment horizontal="center" wrapText="1"/>
    </xf>
    <xf numFmtId="0" fontId="21" fillId="0" borderId="30" xfId="0" applyFont="1" applyBorder="1" applyAlignment="1">
      <alignment horizontal="center" wrapText="1"/>
    </xf>
    <xf numFmtId="0" fontId="21" fillId="0" borderId="35" xfId="0" applyFont="1" applyBorder="1" applyAlignment="1">
      <alignment horizontal="center" wrapText="1"/>
    </xf>
    <xf numFmtId="0" fontId="21" fillId="0" borderId="34" xfId="0" applyFont="1" applyBorder="1" applyAlignment="1">
      <alignment horizontal="center" wrapText="1"/>
    </xf>
    <xf numFmtId="0" fontId="24" fillId="0" borderId="35" xfId="0" applyFont="1" applyBorder="1" applyAlignment="1">
      <alignment horizontal="center" wrapText="1"/>
    </xf>
    <xf numFmtId="0" fontId="24" fillId="0" borderId="24" xfId="0" applyFont="1" applyBorder="1" applyAlignment="1">
      <alignment horizontal="center" vertical="center" wrapText="1"/>
    </xf>
    <xf numFmtId="0" fontId="24" fillId="0" borderId="2" xfId="0" applyFont="1" applyBorder="1" applyAlignment="1">
      <alignment horizontal="center" vertical="center" wrapText="1"/>
    </xf>
    <xf numFmtId="0" fontId="24" fillId="0" borderId="25" xfId="0" applyFont="1" applyBorder="1" applyAlignment="1">
      <alignment horizontal="center" vertical="center" wrapText="1"/>
    </xf>
    <xf numFmtId="0" fontId="21" fillId="0" borderId="43" xfId="0" applyFont="1" applyBorder="1" applyAlignment="1">
      <alignment horizontal="center" wrapText="1"/>
    </xf>
    <xf numFmtId="0" fontId="21" fillId="0" borderId="0" xfId="0" applyFont="1" applyAlignment="1">
      <alignment horizontal="center" wrapText="1"/>
    </xf>
    <xf numFmtId="0" fontId="21" fillId="0" borderId="41" xfId="0" applyFont="1" applyBorder="1" applyAlignment="1">
      <alignment horizontal="center" wrapText="1"/>
    </xf>
    <xf numFmtId="0" fontId="21" fillId="0" borderId="1" xfId="0" applyFont="1" applyBorder="1" applyAlignment="1">
      <alignment horizontal="center" wrapText="1"/>
    </xf>
    <xf numFmtId="0" fontId="24" fillId="0" borderId="3" xfId="0" applyFont="1" applyBorder="1" applyAlignment="1">
      <alignment horizontal="center" vertical="center" wrapText="1"/>
    </xf>
    <xf numFmtId="0" fontId="24" fillId="0" borderId="31" xfId="0" applyFont="1" applyBorder="1" applyAlignment="1">
      <alignment horizontal="center" vertical="center" wrapText="1"/>
    </xf>
    <xf numFmtId="0" fontId="27" fillId="0" borderId="24" xfId="0" applyFont="1" applyBorder="1" applyAlignment="1">
      <alignment horizontal="left" vertical="center" wrapText="1"/>
    </xf>
    <xf numFmtId="0" fontId="27" fillId="0" borderId="2" xfId="0" applyFont="1" applyBorder="1" applyAlignment="1">
      <alignment horizontal="left" vertical="center" wrapText="1"/>
    </xf>
    <xf numFmtId="0" fontId="27" fillId="0" borderId="25" xfId="0" applyFont="1" applyBorder="1" applyAlignment="1">
      <alignment horizontal="left" vertical="center" wrapText="1"/>
    </xf>
    <xf numFmtId="0" fontId="21" fillId="12" borderId="26" xfId="0" applyFont="1" applyFill="1" applyBorder="1" applyAlignment="1">
      <alignment horizontal="center" wrapText="1"/>
    </xf>
    <xf numFmtId="0" fontId="21" fillId="12" borderId="45" xfId="0" applyFont="1" applyFill="1" applyBorder="1" applyAlignment="1">
      <alignment horizontal="center" wrapText="1"/>
    </xf>
    <xf numFmtId="0" fontId="21" fillId="12" borderId="50" xfId="0" applyFont="1" applyFill="1" applyBorder="1" applyAlignment="1">
      <alignment horizontal="center" wrapText="1"/>
    </xf>
    <xf numFmtId="0" fontId="0" fillId="5" borderId="26" xfId="0" applyFill="1" applyBorder="1" applyAlignment="1">
      <alignment horizontal="center" wrapText="1"/>
    </xf>
    <xf numFmtId="0" fontId="0" fillId="5" borderId="45" xfId="0" applyFill="1" applyBorder="1" applyAlignment="1">
      <alignment horizontal="center" wrapText="1"/>
    </xf>
    <xf numFmtId="0" fontId="0" fillId="5" borderId="50" xfId="0" applyFill="1" applyBorder="1" applyAlignment="1">
      <alignment horizontal="center" wrapText="1"/>
    </xf>
    <xf numFmtId="0" fontId="22" fillId="11" borderId="26" xfId="0" applyFont="1" applyFill="1" applyBorder="1" applyAlignment="1">
      <alignment horizontal="center" vertical="top"/>
    </xf>
    <xf numFmtId="0" fontId="22" fillId="11" borderId="45" xfId="0" applyFont="1" applyFill="1" applyBorder="1" applyAlignment="1">
      <alignment horizontal="center" vertical="top"/>
    </xf>
    <xf numFmtId="0" fontId="22" fillId="11" borderId="50" xfId="0" applyFont="1" applyFill="1" applyBorder="1" applyAlignment="1">
      <alignment horizontal="center" vertical="top"/>
    </xf>
    <xf numFmtId="0" fontId="27" fillId="0" borderId="24" xfId="0" applyFont="1" applyBorder="1" applyAlignment="1">
      <alignment vertical="center" wrapText="1"/>
    </xf>
    <xf numFmtId="0" fontId="27" fillId="0" borderId="2" xfId="0" applyFont="1" applyBorder="1" applyAlignment="1">
      <alignment vertical="center" wrapText="1"/>
    </xf>
    <xf numFmtId="0" fontId="27" fillId="0" borderId="25" xfId="0" applyFont="1" applyBorder="1" applyAlignment="1">
      <alignment vertical="center" wrapText="1"/>
    </xf>
    <xf numFmtId="0" fontId="22" fillId="13" borderId="26" xfId="0" applyFont="1" applyFill="1" applyBorder="1" applyAlignment="1">
      <alignment horizontal="center" vertical="top" wrapText="1"/>
    </xf>
    <xf numFmtId="0" fontId="22" fillId="13" borderId="45" xfId="0" applyFont="1" applyFill="1" applyBorder="1" applyAlignment="1">
      <alignment horizontal="center" vertical="top" wrapText="1"/>
    </xf>
    <xf numFmtId="0" fontId="22" fillId="13" borderId="50" xfId="0" applyFont="1" applyFill="1" applyBorder="1" applyAlignment="1">
      <alignment horizontal="center" vertical="top" wrapText="1"/>
    </xf>
    <xf numFmtId="0" fontId="22" fillId="13" borderId="26" xfId="0" applyFont="1" applyFill="1" applyBorder="1" applyAlignment="1">
      <alignment horizontal="center" vertical="top"/>
    </xf>
    <xf numFmtId="0" fontId="22" fillId="13" borderId="45" xfId="0" applyFont="1" applyFill="1" applyBorder="1" applyAlignment="1">
      <alignment horizontal="center" vertical="top"/>
    </xf>
    <xf numFmtId="0" fontId="22" fillId="13" borderId="50" xfId="0" applyFont="1" applyFill="1" applyBorder="1" applyAlignment="1">
      <alignment horizontal="center" vertical="top"/>
    </xf>
    <xf numFmtId="0" fontId="30" fillId="12" borderId="26" xfId="0" applyFont="1" applyFill="1" applyBorder="1" applyAlignment="1">
      <alignment horizontal="center"/>
    </xf>
    <xf numFmtId="0" fontId="30" fillId="12" borderId="45" xfId="0" applyFont="1" applyFill="1" applyBorder="1" applyAlignment="1">
      <alignment horizontal="center"/>
    </xf>
    <xf numFmtId="0" fontId="30" fillId="12" borderId="50" xfId="0" applyFont="1" applyFill="1" applyBorder="1" applyAlignment="1">
      <alignment horizontal="center"/>
    </xf>
    <xf numFmtId="0" fontId="27" fillId="0" borderId="27" xfId="0" applyFont="1" applyBorder="1" applyAlignment="1">
      <alignment horizontal="left" vertical="center" wrapText="1"/>
    </xf>
    <xf numFmtId="0" fontId="27" fillId="0" borderId="1" xfId="0" applyFont="1" applyBorder="1" applyAlignment="1">
      <alignment horizontal="left" vertical="center" wrapText="1"/>
    </xf>
    <xf numFmtId="0" fontId="27" fillId="0" borderId="42" xfId="0" applyFont="1" applyBorder="1" applyAlignment="1">
      <alignment horizontal="left" vertical="center" wrapText="1"/>
    </xf>
    <xf numFmtId="0" fontId="25" fillId="10" borderId="31" xfId="0" applyFont="1" applyFill="1" applyBorder="1" applyAlignment="1">
      <alignment horizontal="center"/>
    </xf>
    <xf numFmtId="0" fontId="25" fillId="10" borderId="51" xfId="0" applyFont="1" applyFill="1" applyBorder="1" applyAlignment="1">
      <alignment horizontal="center"/>
    </xf>
    <xf numFmtId="0" fontId="25" fillId="10" borderId="44" xfId="0" applyFont="1" applyFill="1" applyBorder="1" applyAlignment="1">
      <alignment horizontal="center"/>
    </xf>
    <xf numFmtId="0" fontId="25" fillId="9" borderId="26" xfId="0" applyFont="1" applyFill="1" applyBorder="1" applyAlignment="1">
      <alignment horizontal="center"/>
    </xf>
    <xf numFmtId="0" fontId="25" fillId="9" borderId="45" xfId="0" applyFont="1" applyFill="1" applyBorder="1" applyAlignment="1">
      <alignment horizontal="center"/>
    </xf>
    <xf numFmtId="0" fontId="24" fillId="0" borderId="24" xfId="0" applyFont="1" applyBorder="1" applyAlignment="1">
      <alignment horizontal="center" vertical="center"/>
    </xf>
    <xf numFmtId="0" fontId="24" fillId="0" borderId="25" xfId="0" applyFont="1" applyBorder="1" applyAlignment="1">
      <alignment horizontal="center" vertical="center"/>
    </xf>
    <xf numFmtId="0" fontId="24" fillId="0" borderId="52" xfId="0" applyFont="1" applyBorder="1" applyAlignment="1">
      <alignment horizontal="center" vertical="center" wrapText="1"/>
    </xf>
    <xf numFmtId="0" fontId="21" fillId="0" borderId="1" xfId="0" applyFont="1" applyBorder="1" applyAlignment="1">
      <alignment horizontal="center" vertical="center" wrapText="1"/>
    </xf>
    <xf numFmtId="0" fontId="21" fillId="0" borderId="44" xfId="0" applyFont="1" applyBorder="1" applyAlignment="1">
      <alignment horizontal="center" vertical="center" wrapText="1"/>
    </xf>
    <xf numFmtId="0" fontId="21" fillId="0" borderId="27" xfId="0" applyFont="1" applyBorder="1" applyAlignment="1">
      <alignment horizontal="center" wrapText="1"/>
    </xf>
    <xf numFmtId="0" fontId="21" fillId="0" borderId="44" xfId="0" applyFont="1" applyBorder="1" applyAlignment="1">
      <alignment horizontal="center" wrapText="1"/>
    </xf>
    <xf numFmtId="0" fontId="21" fillId="3" borderId="24" xfId="0" applyFont="1" applyFill="1" applyBorder="1" applyAlignment="1">
      <alignment horizontal="center" wrapText="1"/>
    </xf>
    <xf numFmtId="0" fontId="21" fillId="3" borderId="2" xfId="0" applyFont="1" applyFill="1" applyBorder="1" applyAlignment="1">
      <alignment horizontal="center" wrapText="1"/>
    </xf>
    <xf numFmtId="0" fontId="21" fillId="3" borderId="25" xfId="0" applyFont="1" applyFill="1" applyBorder="1" applyAlignment="1">
      <alignment horizontal="center" wrapText="1"/>
    </xf>
  </cellXfs>
  <cellStyles count="4">
    <cellStyle name="Hyperlink" xfId="1" builtinId="8"/>
    <cellStyle name="Normal" xfId="0" builtinId="0"/>
    <cellStyle name="Normal 11" xfId="3" xr:uid="{55C191FE-DA68-461B-9FD5-3E46C5F71DD6}"/>
    <cellStyle name="Normal 2 2" xfId="2" xr:uid="{597C8CDE-4934-4A1E-9420-1FED21679CA3}"/>
  </cellStyles>
  <dxfs count="17">
    <dxf>
      <font>
        <color rgb="FF9C0006"/>
      </font>
      <fill>
        <patternFill>
          <bgColor rgb="FFFFC7CE"/>
        </patternFill>
      </fill>
    </dxf>
    <dxf>
      <fill>
        <patternFill>
          <bgColor rgb="FFFFC000"/>
        </patternFill>
      </fill>
    </dxf>
    <dxf>
      <fill>
        <patternFill>
          <bgColor theme="7" tint="0.59996337778862885"/>
        </patternFill>
      </fill>
    </dxf>
    <dxf>
      <fill>
        <patternFill>
          <bgColor theme="9"/>
        </patternFill>
      </fill>
    </dxf>
    <dxf>
      <fill>
        <patternFill>
          <bgColor rgb="FFFFC000"/>
        </patternFill>
      </fill>
    </dxf>
    <dxf>
      <fill>
        <patternFill>
          <bgColor theme="7" tint="0.59996337778862885"/>
        </patternFill>
      </fill>
    </dxf>
    <dxf>
      <fill>
        <patternFill>
          <bgColor theme="9"/>
        </patternFill>
      </fill>
    </dxf>
    <dxf>
      <fill>
        <patternFill>
          <bgColor rgb="FFFFC000"/>
        </patternFill>
      </fill>
    </dxf>
    <dxf>
      <fill>
        <patternFill>
          <bgColor theme="7" tint="0.59996337778862885"/>
        </patternFill>
      </fill>
    </dxf>
    <dxf>
      <fill>
        <patternFill>
          <bgColor theme="9"/>
        </patternFill>
      </fill>
    </dxf>
    <dxf>
      <fill>
        <patternFill>
          <bgColor rgb="FFFFC000"/>
        </patternFill>
      </fill>
    </dxf>
    <dxf>
      <fill>
        <patternFill>
          <bgColor theme="7" tint="0.59996337778862885"/>
        </patternFill>
      </fill>
    </dxf>
    <dxf>
      <fill>
        <patternFill>
          <bgColor theme="9"/>
        </patternFill>
      </fill>
    </dxf>
    <dxf>
      <font>
        <color rgb="FF9C0006"/>
      </font>
      <fill>
        <patternFill>
          <bgColor rgb="FFFFC7CE"/>
        </patternFill>
      </fill>
    </dxf>
    <dxf>
      <fill>
        <patternFill>
          <bgColor rgb="FFFFC000"/>
        </patternFill>
      </fill>
    </dxf>
    <dxf>
      <fill>
        <patternFill>
          <bgColor theme="7" tint="0.59996337778862885"/>
        </patternFill>
      </fill>
    </dxf>
    <dxf>
      <fill>
        <patternFill>
          <bgColor theme="9"/>
        </patternFill>
      </fill>
    </dxf>
  </dxfs>
  <tableStyles count="0" defaultTableStyle="TableStyleMedium2" defaultPivotStyle="PivotStyleLight16"/>
  <colors>
    <mruColors>
      <color rgb="FF315975"/>
      <color rgb="FFAE99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acted-my.sharepoint.com/personal/carlos_taponjou_impact-initiatives_org/Documents/Documents/ETHIOPIAN-MISSION/GitHub/eth_reach_aba_tigray_somali/inputs/REACH_ETH2306b_ABA_tool_FINAL.xlsx" TargetMode="External"/><Relationship Id="rId1" Type="http://schemas.openxmlformats.org/officeDocument/2006/relationships/externalLinkPath" Target="REACH_ETH2306b_ABA_tool_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rvey"/>
      <sheetName val="choices"/>
      <sheetName val="settings"/>
    </sheetNames>
    <sheetDataSet>
      <sheetData sheetId="0">
        <row r="1">
          <cell r="A1" t="str">
            <v>Question</v>
          </cell>
          <cell r="B1" t="str">
            <v>type</v>
          </cell>
          <cell r="C1" t="str">
            <v>name</v>
          </cell>
          <cell r="D1" t="str">
            <v>label::English</v>
          </cell>
        </row>
        <row r="2">
          <cell r="A2">
            <v>0</v>
          </cell>
          <cell r="B2" t="str">
            <v>start</v>
          </cell>
          <cell r="C2" t="str">
            <v>start</v>
          </cell>
        </row>
        <row r="3">
          <cell r="A3">
            <v>0</v>
          </cell>
          <cell r="B3" t="str">
            <v>end</v>
          </cell>
          <cell r="C3" t="str">
            <v>end</v>
          </cell>
        </row>
        <row r="4">
          <cell r="A4">
            <v>0</v>
          </cell>
          <cell r="B4" t="str">
            <v>today</v>
          </cell>
          <cell r="C4" t="str">
            <v>today</v>
          </cell>
        </row>
        <row r="5">
          <cell r="A5">
            <v>0</v>
          </cell>
          <cell r="B5" t="str">
            <v>deviceid</v>
          </cell>
          <cell r="C5" t="str">
            <v>deviceid</v>
          </cell>
        </row>
        <row r="6">
          <cell r="A6">
            <v>0</v>
          </cell>
          <cell r="B6" t="str">
            <v>audit</v>
          </cell>
          <cell r="C6" t="str">
            <v>audit</v>
          </cell>
        </row>
        <row r="7">
          <cell r="A7">
            <v>0</v>
          </cell>
          <cell r="B7" t="str">
            <v>calculate</v>
          </cell>
          <cell r="C7" t="str">
            <v>instance_name</v>
          </cell>
        </row>
        <row r="8">
          <cell r="A8" t="str">
            <v>Name of enumerator</v>
          </cell>
          <cell r="B8" t="str">
            <v>select_one enum_id</v>
          </cell>
          <cell r="C8" t="str">
            <v>enumerator_id</v>
          </cell>
          <cell r="D8" t="str">
            <v>Name of enumerator</v>
          </cell>
        </row>
        <row r="9">
          <cell r="A9" t="str">
            <v>Gender of enumerator</v>
          </cell>
          <cell r="B9" t="str">
            <v>select_one gender</v>
          </cell>
          <cell r="C9" t="str">
            <v>enum_gender</v>
          </cell>
          <cell r="D9" t="str">
            <v>Gender of enumerator</v>
          </cell>
        </row>
        <row r="10">
          <cell r="A10" t="str">
            <v xml:space="preserve">Hi, my name is ___________. I work for REACH-Initiative/ACTED and we are currently trying to understand the provision of services related to water, sanitation and hygiene (WASH), health and education, in ____________ (specifiy Kebele). We would like to ask you some questions on demographics and displacement, movements of people, relations between returnees and host-community in this area, and the provision of services. The survey will take about **40 minutes** to complete. This is voluntary and you can choose not to answer any or all of the questions if you want; you may also choose to quit at any point. However, we hope that you will participate since your views are important. Responses are not directly tied to any form of humanitarian assistance and answers given in this interview will not directly affect any status as a beneficiary or non-beneficiary. The interview will be recorded and the recording will be deleted as soon as the data collection and analysis of the data has been concluded. 
Do you have any questions? Do you consent to participate in this interview? </v>
          </cell>
          <cell r="B10" t="str">
            <v>note</v>
          </cell>
          <cell r="C10" t="str">
            <v>note_consent_statement</v>
          </cell>
          <cell r="D10" t="str">
            <v xml:space="preserve">Hi, my name is ___________. I work for REACH-Initiative/ACTED and we are currently trying to understand the provision of services related to water, sanitation and hygiene (WASH), health and education, in ____________ (specifiy Kebele). We would like to ask you some questions on demographics and displacement, movements of people, relations between returnees and host-community in this area, and the provision of services. The survey will take about **40 minutes** to complete. This is voluntary and you can choose not to answer any or all of the questions if you want; you may also choose to quit at any point. However, we hope that you will participate since your views are important. Responses are not directly tied to any form of humanitarian assistance and answers given in this interview will not directly affect any status as a beneficiary or non-beneficiary. The interview will be recorded and the recording will be deleted as soon as the data collection and analysis of the data has been concluded. 
Do you have any questions? Do you consent to participate in this interview? </v>
          </cell>
        </row>
        <row r="11">
          <cell r="A11" t="str">
            <v>Date of data collection</v>
          </cell>
          <cell r="B11" t="str">
            <v>date</v>
          </cell>
          <cell r="C11" t="str">
            <v>date_dc</v>
          </cell>
          <cell r="D11" t="str">
            <v>Date of data collection</v>
          </cell>
        </row>
        <row r="12">
          <cell r="A12" t="str">
            <v>In which region does the interview take place?</v>
          </cell>
          <cell r="B12" t="str">
            <v>select_one region</v>
          </cell>
          <cell r="C12" t="str">
            <v>region</v>
          </cell>
          <cell r="D12" t="str">
            <v>In which region does the interview take place?</v>
          </cell>
        </row>
        <row r="13">
          <cell r="A13" t="str">
            <v>In which zone does the interview take place?</v>
          </cell>
          <cell r="B13" t="str">
            <v>select_one zone</v>
          </cell>
          <cell r="C13" t="str">
            <v>zone</v>
          </cell>
          <cell r="D13" t="str">
            <v>In which zone does the interview take place?</v>
          </cell>
        </row>
        <row r="14">
          <cell r="A14" t="str">
            <v>In which woreda does the interview take place?</v>
          </cell>
          <cell r="B14" t="str">
            <v>select_one woreda</v>
          </cell>
          <cell r="C14" t="str">
            <v>woreda</v>
          </cell>
          <cell r="D14" t="str">
            <v>In which woreda does the interview take place?</v>
          </cell>
        </row>
        <row r="15">
          <cell r="A15" t="str">
            <v>What is the number of the point on the map you are surveying at?</v>
          </cell>
          <cell r="B15" t="str">
            <v>text</v>
          </cell>
          <cell r="C15" t="str">
            <v>point_number</v>
          </cell>
          <cell r="D15" t="str">
            <v>What is the number of the point on the map you are surveying at?</v>
          </cell>
        </row>
        <row r="16">
          <cell r="A16" t="str">
            <v>Are you willing and able to respond the interview?</v>
          </cell>
          <cell r="B16" t="str">
            <v>select_one yes_no</v>
          </cell>
          <cell r="C16" t="str">
            <v>consent</v>
          </cell>
          <cell r="D16" t="str">
            <v>Are you willing and able to respond the interview?</v>
          </cell>
        </row>
        <row r="17">
          <cell r="A17" t="str">
            <v>Begin ABA HH Survey</v>
          </cell>
          <cell r="B17" t="str">
            <v>begin_group</v>
          </cell>
          <cell r="C17" t="str">
            <v>grp_interview</v>
          </cell>
          <cell r="D17" t="str">
            <v>Begin ABA HH Survey</v>
          </cell>
        </row>
        <row r="18">
          <cell r="A18" t="str">
            <v>Respondent Information</v>
          </cell>
          <cell r="B18" t="str">
            <v>begin_group</v>
          </cell>
          <cell r="C18" t="str">
            <v>grp_respondent_info</v>
          </cell>
          <cell r="D18" t="str">
            <v>Respondent Information</v>
          </cell>
        </row>
        <row r="19">
          <cell r="A19" t="str">
            <v>Do you have a mobile telephone?</v>
          </cell>
          <cell r="B19" t="str">
            <v>select_one yes_no</v>
          </cell>
          <cell r="C19" t="str">
            <v>hh_telephone</v>
          </cell>
          <cell r="D19" t="str">
            <v>Do you have a mobile telephone?</v>
          </cell>
        </row>
        <row r="20">
          <cell r="A20" t="str">
            <v>If yes, please could we collect your phone number in case we have follow up questions?</v>
          </cell>
          <cell r="B20" t="str">
            <v>integer</v>
          </cell>
          <cell r="C20" t="str">
            <v>hh_phone_num</v>
          </cell>
          <cell r="D20" t="str">
            <v>If yes, please could we collect your phone number in case we have follow up questions?</v>
          </cell>
        </row>
        <row r="21">
          <cell r="A21" t="str">
            <v>Are you the head of the household?</v>
          </cell>
          <cell r="B21" t="str">
            <v>select_one yes_no</v>
          </cell>
          <cell r="C21" t="str">
            <v>hoh</v>
          </cell>
          <cell r="D21" t="str">
            <v>Are you the head of the household?</v>
          </cell>
        </row>
        <row r="22">
          <cell r="A22" t="str">
            <v>What is the age of the respondent?</v>
          </cell>
          <cell r="B22" t="str">
            <v>integer</v>
          </cell>
          <cell r="C22" t="str">
            <v>hh_age</v>
          </cell>
          <cell r="D22" t="str">
            <v>What is the age of the respondent?</v>
          </cell>
        </row>
        <row r="23">
          <cell r="A23" t="str">
            <v>What is the age of the household head?</v>
          </cell>
          <cell r="B23" t="str">
            <v>integer</v>
          </cell>
          <cell r="C23" t="str">
            <v>hoh_no</v>
          </cell>
          <cell r="D23" t="str">
            <v>What is the age of the household head?</v>
          </cell>
        </row>
        <row r="24">
          <cell r="A24" t="str">
            <v>What is the gender of the respondent?</v>
          </cell>
          <cell r="B24" t="str">
            <v>select_one gender</v>
          </cell>
          <cell r="C24" t="str">
            <v>hoh_gender</v>
          </cell>
          <cell r="D24" t="str">
            <v>What is the gender of the respondent?</v>
          </cell>
        </row>
        <row r="25">
          <cell r="A25" t="str">
            <v xml:space="preserve">What is the gender of the household head? </v>
          </cell>
          <cell r="B25" t="str">
            <v>select_one gender</v>
          </cell>
          <cell r="C25" t="str">
            <v>hoh_no_gender</v>
          </cell>
          <cell r="D25" t="str">
            <v xml:space="preserve">What is the gender of the household head? </v>
          </cell>
        </row>
        <row r="26">
          <cell r="A26" t="str">
            <v>What is the marital status of the respondent?</v>
          </cell>
          <cell r="B26" t="str">
            <v>select_one marital_status</v>
          </cell>
          <cell r="C26" t="str">
            <v>hoh_no_marital_status</v>
          </cell>
          <cell r="D26" t="str">
            <v>What is the marital status of the respondent?</v>
          </cell>
        </row>
        <row r="27">
          <cell r="A27" t="str">
            <v>What is the marital status of the household head?</v>
          </cell>
          <cell r="B27" t="str">
            <v>select_one marital_status</v>
          </cell>
          <cell r="C27" t="str">
            <v>hoh_marital_status</v>
          </cell>
          <cell r="D27" t="str">
            <v>What is the marital status of the household head?</v>
          </cell>
        </row>
        <row r="28">
          <cell r="A28" t="str">
            <v>Do you have any formal education?</v>
          </cell>
          <cell r="B28" t="str">
            <v>select_one education</v>
          </cell>
          <cell r="C28" t="str">
            <v>hh_education</v>
          </cell>
          <cell r="D28" t="str">
            <v>Do you have any formal education?</v>
          </cell>
        </row>
        <row r="29">
          <cell r="A29" t="str">
            <v xml:space="preserve">What is your occupation? </v>
          </cell>
          <cell r="B29" t="str">
            <v>select_one occupation</v>
          </cell>
          <cell r="C29" t="str">
            <v>hh_occupation</v>
          </cell>
          <cell r="D29" t="str">
            <v xml:space="preserve">What is your occupation? </v>
          </cell>
        </row>
        <row r="30">
          <cell r="A30" t="str">
            <v>Please specify</v>
          </cell>
          <cell r="B30" t="str">
            <v>text</v>
          </cell>
          <cell r="C30" t="str">
            <v>hh_occupation_other</v>
          </cell>
          <cell r="D30" t="str">
            <v>Please specify</v>
          </cell>
        </row>
        <row r="31">
          <cell r="A31" t="str">
            <v>How many people reside in this household? (including the respondent)</v>
          </cell>
          <cell r="B31" t="str">
            <v>integer</v>
          </cell>
          <cell r="C31" t="str">
            <v>hh_size</v>
          </cell>
          <cell r="D31" t="str">
            <v>How many people reside in this household? (including the respondent)</v>
          </cell>
        </row>
        <row r="32">
          <cell r="A32" t="str">
            <v>What is the displacement status of your household?</v>
          </cell>
          <cell r="B32" t="str">
            <v>select_one hh_situation</v>
          </cell>
          <cell r="C32" t="str">
            <v>hh_situation</v>
          </cell>
          <cell r="D32" t="str">
            <v>What is the displacement status of your household?</v>
          </cell>
        </row>
        <row r="33">
          <cell r="A33" t="str">
            <v>What is your region of origin?</v>
          </cell>
          <cell r="B33" t="str">
            <v>select_one region</v>
          </cell>
          <cell r="C33" t="str">
            <v>hh_region</v>
          </cell>
          <cell r="D33" t="str">
            <v>What is your region of origin?</v>
          </cell>
        </row>
        <row r="34">
          <cell r="A34" t="str">
            <v>What is your zone of origin?</v>
          </cell>
          <cell r="B34" t="str">
            <v>select_one zone</v>
          </cell>
          <cell r="C34" t="str">
            <v>hh_zone</v>
          </cell>
          <cell r="D34" t="str">
            <v>What is your zone of origin?</v>
          </cell>
        </row>
        <row r="35">
          <cell r="A35" t="str">
            <v>What is your woreda of origin?</v>
          </cell>
          <cell r="B35" t="str">
            <v>select_one woreda</v>
          </cell>
          <cell r="C35" t="str">
            <v>hh_woreda</v>
          </cell>
          <cell r="D35" t="str">
            <v>What is your woreda of origin?</v>
          </cell>
        </row>
        <row r="36">
          <cell r="A36" t="str">
            <v xml:space="preserve">What are the main reasons for your household leaving the place they  used to live in before displacement/the place of origin? </v>
          </cell>
          <cell r="B36" t="str">
            <v>select_multiple displacement_reason</v>
          </cell>
          <cell r="C36" t="str">
            <v>displacement_reason</v>
          </cell>
          <cell r="D36" t="str">
            <v xml:space="preserve">What are the main reasons for your household leaving the place they  used to live in before displacement/the place of origin? </v>
          </cell>
        </row>
        <row r="37">
          <cell r="A37" t="str">
            <v>Please specify</v>
          </cell>
          <cell r="B37" t="str">
            <v>text</v>
          </cell>
          <cell r="C37" t="str">
            <v>displacement_reason_other</v>
          </cell>
          <cell r="D37" t="str">
            <v>Please specify</v>
          </cell>
        </row>
        <row r="38">
          <cell r="A38" t="str">
            <v>What was the main reason you chose your current place of settlement?</v>
          </cell>
          <cell r="B38" t="str">
            <v>select_one current_location_reason</v>
          </cell>
          <cell r="C38" t="str">
            <v>current_location_reason</v>
          </cell>
          <cell r="D38" t="str">
            <v>What was the main reason you chose your current place of settlement?</v>
          </cell>
        </row>
        <row r="39">
          <cell r="A39" t="str">
            <v>Please specify</v>
          </cell>
          <cell r="B39" t="str">
            <v>text</v>
          </cell>
          <cell r="C39" t="str">
            <v>current_location_reason_other</v>
          </cell>
          <cell r="D39" t="str">
            <v>Please specify</v>
          </cell>
        </row>
        <row r="40">
          <cell r="A40" t="str">
            <v>Does your household/do you have concrete plans to move within the next 3 months?</v>
          </cell>
          <cell r="B40" t="str">
            <v>select_one movement_plan</v>
          </cell>
          <cell r="C40" t="str">
            <v>hh_movement_plan</v>
          </cell>
          <cell r="D40" t="str">
            <v>Does your household/do you have concrete plans to move within the next 3 months?</v>
          </cell>
        </row>
        <row r="41">
          <cell r="A41" t="str">
            <v>Where are you/your household planning to move?</v>
          </cell>
          <cell r="B41" t="str">
            <v>select_one movement_intention</v>
          </cell>
          <cell r="C41" t="str">
            <v>hh_movement_plan_yes</v>
          </cell>
          <cell r="D41" t="str">
            <v>Where are you/your household planning to move?</v>
          </cell>
        </row>
        <row r="42">
          <cell r="A42" t="str">
            <v>What is the main reason for this planned move?</v>
          </cell>
          <cell r="B42" t="str">
            <v>select_one movement_reason</v>
          </cell>
          <cell r="C42" t="str">
            <v>hh_reason_for_planned_move</v>
          </cell>
          <cell r="D42" t="str">
            <v>What is the main reason for this planned move?</v>
          </cell>
        </row>
        <row r="43">
          <cell r="A43" t="str">
            <v>Please specify</v>
          </cell>
          <cell r="B43" t="str">
            <v>text</v>
          </cell>
          <cell r="C43" t="str">
            <v>hh_reason_for_planned_move_other</v>
          </cell>
          <cell r="D43" t="str">
            <v>Please specify</v>
          </cell>
        </row>
        <row r="44">
          <cell r="A44">
            <v>0</v>
          </cell>
          <cell r="B44" t="str">
            <v>end_group</v>
          </cell>
        </row>
        <row r="45">
          <cell r="A45" t="str">
            <v>Household Roster</v>
          </cell>
          <cell r="B45" t="str">
            <v>begin_group</v>
          </cell>
          <cell r="C45" t="str">
            <v>grp_hh_roster</v>
          </cell>
          <cell r="D45" t="str">
            <v>Household Roster</v>
          </cell>
        </row>
        <row r="46">
          <cell r="A46" t="str">
            <v>I will now ask you questions about each household member separately. Please start with yourself and then list all other household members, starting with the youngest. The following questions concern household members who currently live in the household. They do not concern household members, e.g. children, who do not currently live in the household.</v>
          </cell>
          <cell r="B46" t="str">
            <v>note</v>
          </cell>
          <cell r="C46" t="str">
            <v>note_indv_loop</v>
          </cell>
          <cell r="D46" t="str">
            <v>I will now ask you questions about each household member separately. Please start with yourself and then list all other household members, starting with the youngest. The following questions concern household members who currently live in the household. They do not concern household members, e.g. children, who do not currently live in the household.</v>
          </cell>
        </row>
        <row r="47">
          <cell r="A47" t="str">
            <v>Individual information on household members</v>
          </cell>
          <cell r="B47" t="str">
            <v>begin_repeat</v>
          </cell>
          <cell r="C47" t="str">
            <v>hh_roster</v>
          </cell>
          <cell r="D47" t="str">
            <v>Individual information on household members</v>
          </cell>
        </row>
        <row r="48">
          <cell r="A48">
            <v>0</v>
          </cell>
          <cell r="B48" t="str">
            <v>calculate</v>
          </cell>
          <cell r="C48" t="str">
            <v>parent_instance_name</v>
          </cell>
        </row>
        <row r="49">
          <cell r="A49">
            <v>0</v>
          </cell>
          <cell r="B49" t="str">
            <v>calculate</v>
          </cell>
          <cell r="C49" t="str">
            <v>person_id</v>
          </cell>
        </row>
        <row r="50">
          <cell r="A50" t="str">
            <v>What is the name of household member?</v>
          </cell>
          <cell r="B50" t="str">
            <v>text</v>
          </cell>
          <cell r="C50" t="str">
            <v>person_name</v>
          </cell>
          <cell r="D50" t="str">
            <v>What is the name of household member?</v>
          </cell>
        </row>
        <row r="51">
          <cell r="A51" t="str">
            <v>What is his / her age?</v>
          </cell>
          <cell r="B51" t="str">
            <v>integer</v>
          </cell>
          <cell r="C51" t="str">
            <v>ind_age</v>
          </cell>
          <cell r="D51" t="str">
            <v>What is his / her age?</v>
          </cell>
        </row>
        <row r="52">
          <cell r="A52" t="str">
            <v>What is his / her gender?</v>
          </cell>
          <cell r="B52" t="str">
            <v>select_one gender</v>
          </cell>
          <cell r="C52" t="str">
            <v>ind_gender</v>
          </cell>
          <cell r="D52" t="str">
            <v>What is his / her gender?</v>
          </cell>
        </row>
        <row r="53">
          <cell r="A53" t="str">
            <v>What is educational status of household member?</v>
          </cell>
          <cell r="B53" t="str">
            <v>select_one educational_status</v>
          </cell>
          <cell r="C53" t="str">
            <v>ind_educational_status</v>
          </cell>
          <cell r="D53" t="str">
            <v>What is educational status of household member?</v>
          </cell>
        </row>
        <row r="54">
          <cell r="A54">
            <v>0</v>
          </cell>
          <cell r="B54" t="str">
            <v>calculate</v>
          </cell>
          <cell r="C54" t="str">
            <v>hh_pregnant_age</v>
          </cell>
        </row>
        <row r="55">
          <cell r="A55">
            <v>0</v>
          </cell>
          <cell r="B55" t="str">
            <v>calculate</v>
          </cell>
          <cell r="C55" t="str">
            <v>ind_educ_status</v>
          </cell>
        </row>
        <row r="56">
          <cell r="A56">
            <v>0</v>
          </cell>
          <cell r="B56" t="str">
            <v>calculate</v>
          </cell>
          <cell r="C56" t="str">
            <v>ind_educ_status2</v>
          </cell>
        </row>
        <row r="57">
          <cell r="A57">
            <v>0</v>
          </cell>
          <cell r="B57" t="str">
            <v>end_repeat</v>
          </cell>
        </row>
        <row r="58">
          <cell r="A58">
            <v>0</v>
          </cell>
          <cell r="B58" t="str">
            <v>calculate</v>
          </cell>
          <cell r="C58" t="str">
            <v>hh_pregnant_age_count</v>
          </cell>
        </row>
        <row r="59">
          <cell r="A59">
            <v>0</v>
          </cell>
          <cell r="B59" t="str">
            <v>calculate</v>
          </cell>
          <cell r="C59" t="str">
            <v>ind_educ_status_count</v>
          </cell>
        </row>
        <row r="60">
          <cell r="A60">
            <v>0</v>
          </cell>
          <cell r="B60" t="str">
            <v>calculate</v>
          </cell>
          <cell r="C60" t="str">
            <v>ind_educ_dropout_count</v>
          </cell>
        </row>
        <row r="61">
          <cell r="A61" t="str">
            <v>Are any of the female household members current pregnant or lactating?</v>
          </cell>
          <cell r="B61" t="str">
            <v>select_one yes_no</v>
          </cell>
          <cell r="C61" t="str">
            <v>pregnant_lac_women</v>
          </cell>
          <cell r="D61" t="str">
            <v>Are any of the female household members current pregnant or lactating?</v>
          </cell>
        </row>
        <row r="62">
          <cell r="A62" t="str">
            <v>If yes, how many pregnant/ lactacting women?</v>
          </cell>
          <cell r="B62" t="str">
            <v>integer</v>
          </cell>
          <cell r="C62" t="str">
            <v>pregnant_lac_women_yes</v>
          </cell>
          <cell r="D62" t="str">
            <v>If yes, how many pregnant/ lactacting women?</v>
          </cell>
        </row>
        <row r="63">
          <cell r="A63">
            <v>0</v>
          </cell>
          <cell r="B63" t="str">
            <v>end_group</v>
          </cell>
        </row>
        <row r="64">
          <cell r="A64" t="str">
            <v>Disability</v>
          </cell>
          <cell r="B64" t="str">
            <v>begin_group</v>
          </cell>
          <cell r="C64" t="str">
            <v>grp_disability</v>
          </cell>
          <cell r="D64" t="str">
            <v>Disability</v>
          </cell>
        </row>
        <row r="65">
          <cell r="A65" t="str">
            <v xml:space="preserve">Do any members of your household have difficulty seeing, even if wearing glasses? </v>
          </cell>
          <cell r="B65" t="str">
            <v>select_one difficulty</v>
          </cell>
          <cell r="C65" t="str">
            <v>difficulty_seeing</v>
          </cell>
          <cell r="D65" t="str">
            <v xml:space="preserve">Do any members of your household have difficulty seeing, even if wearing glasses? </v>
          </cell>
        </row>
        <row r="66">
          <cell r="A66" t="str">
            <v xml:space="preserve">Do any members of your houshold have difficulty hearing, even if using a hearing aid(s)? </v>
          </cell>
          <cell r="B66" t="str">
            <v>select_one difficulty</v>
          </cell>
          <cell r="C66" t="str">
            <v>difficulty_hearing</v>
          </cell>
          <cell r="D66" t="str">
            <v xml:space="preserve">Do any members of your houshold have difficulty hearing, even if using a hearing aid(s)? </v>
          </cell>
        </row>
        <row r="67">
          <cell r="A67" t="str">
            <v>Do any members of your houshold have difficulty walking or climbing steps?</v>
          </cell>
          <cell r="B67" t="str">
            <v>select_one difficulty</v>
          </cell>
          <cell r="C67" t="str">
            <v>difficulty_walking</v>
          </cell>
          <cell r="D67" t="str">
            <v>Do any members of your houshold have difficulty walking or climbing steps?</v>
          </cell>
        </row>
        <row r="68">
          <cell r="A68" t="str">
            <v>Do any members of your houshold have difficulty remembering or concentrating?</v>
          </cell>
          <cell r="B68" t="str">
            <v>select_one difficulty</v>
          </cell>
          <cell r="C68" t="str">
            <v>difficulty_remembering</v>
          </cell>
          <cell r="D68" t="str">
            <v>Do any members of your houshold have difficulty remembering or concentrating?</v>
          </cell>
        </row>
        <row r="69">
          <cell r="A69" t="str">
            <v>Do any members of your household have difficulty with self-care, such as washing all over or dressing?</v>
          </cell>
          <cell r="B69" t="str">
            <v>select_one difficulty</v>
          </cell>
          <cell r="C69" t="str">
            <v>difficulty_self_care</v>
          </cell>
          <cell r="D69" t="str">
            <v>Do any members of your household have difficulty with self-care, such as washing all over or dressing?</v>
          </cell>
        </row>
        <row r="70">
          <cell r="A70" t="str">
            <v xml:space="preserve">Using your usual language, do any members of your houshold have difficulty
communicating, for example understanding or being understood? </v>
          </cell>
          <cell r="B70" t="str">
            <v>select_one difficulty</v>
          </cell>
          <cell r="C70" t="str">
            <v>difficulty_communicating</v>
          </cell>
          <cell r="D70" t="str">
            <v xml:space="preserve">Using your usual language, do any members of your houshold have difficulty
communicating, for example understanding or being understood? </v>
          </cell>
        </row>
        <row r="71">
          <cell r="A71">
            <v>0</v>
          </cell>
          <cell r="B71" t="str">
            <v>end_group</v>
          </cell>
        </row>
        <row r="72">
          <cell r="A72" t="str">
            <v>Water, Sanitation and Hygiene (WASH)</v>
          </cell>
          <cell r="B72" t="str">
            <v>begin_group</v>
          </cell>
          <cell r="C72" t="str">
            <v>grp_wash</v>
          </cell>
          <cell r="D72" t="str">
            <v>Water, Sanitation and Hygiene (WASH)</v>
          </cell>
        </row>
        <row r="73">
          <cell r="A73" t="str">
            <v>What is the main source of drinking water for members of your household?</v>
          </cell>
          <cell r="B73" t="str">
            <v>select_one drinking_water_source</v>
          </cell>
          <cell r="C73" t="str">
            <v>drinking_water_source</v>
          </cell>
          <cell r="D73" t="str">
            <v>What is the main source of drinking water for members of your household?</v>
          </cell>
        </row>
        <row r="74">
          <cell r="A74" t="str">
            <v>Please specify</v>
          </cell>
          <cell r="B74" t="str">
            <v>text</v>
          </cell>
          <cell r="C74" t="str">
            <v>drinking_water_source_other</v>
          </cell>
          <cell r="D74" t="str">
            <v>Please specify</v>
          </cell>
        </row>
        <row r="75">
          <cell r="A75" t="str">
            <v>What is the main source of water for cooking, bathing and cleaning for your HH?</v>
          </cell>
          <cell r="B75" t="str">
            <v>select_one cleaning_water_source</v>
          </cell>
          <cell r="C75" t="str">
            <v>cleaning_water_source</v>
          </cell>
          <cell r="D75" t="str">
            <v>What is the main source of water for cooking, bathing and cleaning for your HH?</v>
          </cell>
        </row>
        <row r="76">
          <cell r="A76" t="str">
            <v>Please specify</v>
          </cell>
          <cell r="B76" t="str">
            <v>text</v>
          </cell>
          <cell r="C76" t="str">
            <v>cleaning_water_source_other</v>
          </cell>
          <cell r="D76" t="str">
            <v>Please specify</v>
          </cell>
        </row>
        <row r="77">
          <cell r="A77" t="str">
            <v>Where is your drinking water source located?</v>
          </cell>
          <cell r="B77" t="str">
            <v>select_one water_source_location</v>
          </cell>
          <cell r="C77" t="str">
            <v>water_source_location</v>
          </cell>
          <cell r="D77" t="str">
            <v>Where is your drinking water source located?</v>
          </cell>
        </row>
        <row r="78">
          <cell r="A78" t="str">
            <v>Please specify</v>
          </cell>
          <cell r="B78" t="str">
            <v>text</v>
          </cell>
          <cell r="C78" t="str">
            <v>water_source_location_other</v>
          </cell>
          <cell r="D78" t="str">
            <v>Please specify</v>
          </cell>
        </row>
        <row r="79">
          <cell r="A79" t="str">
            <v xml:space="preserve">How long does it take for members of your household to go to the location of drinking water source? </v>
          </cell>
          <cell r="B79" t="str">
            <v>select_one water_fetch_time</v>
          </cell>
          <cell r="C79" t="str">
            <v>water_fetch_time</v>
          </cell>
          <cell r="D79" t="str">
            <v xml:space="preserve">How long does it take for members of your household to go to the location of drinking water source? </v>
          </cell>
        </row>
        <row r="80">
          <cell r="A80" t="str">
            <v>How long does it take for members of your household to go to the location of drinking water source , get water (including waiting time), and come back?</v>
          </cell>
          <cell r="B80" t="str">
            <v>select_one water_fetch_time</v>
          </cell>
          <cell r="C80" t="str">
            <v>water_fetch_time2</v>
          </cell>
          <cell r="D80" t="str">
            <v>How long does it take for members of your household to go to the location of drinking water source , get water (including waiting time), and come back?</v>
          </cell>
        </row>
        <row r="81">
          <cell r="A81" t="str">
            <v>Who owns this water point?</v>
          </cell>
          <cell r="B81" t="str">
            <v>select_one water_point_owner</v>
          </cell>
          <cell r="C81" t="str">
            <v>water_point_owner</v>
          </cell>
          <cell r="D81" t="str">
            <v>Who owns this water point?</v>
          </cell>
        </row>
        <row r="82">
          <cell r="A82" t="str">
            <v>Please specify</v>
          </cell>
          <cell r="B82" t="str">
            <v>text</v>
          </cell>
          <cell r="C82" t="str">
            <v>water_point_owner_other</v>
          </cell>
          <cell r="D82" t="str">
            <v>Please specify</v>
          </cell>
        </row>
        <row r="83">
          <cell r="A83" t="str">
            <v>Is the water source you use for drinking functional?</v>
          </cell>
          <cell r="B83" t="str">
            <v>select_one water_source_functional</v>
          </cell>
          <cell r="C83" t="str">
            <v>water_source_functional</v>
          </cell>
          <cell r="D83" t="str">
            <v>Is the water source you use for drinking functional?</v>
          </cell>
        </row>
        <row r="84">
          <cell r="A84" t="str">
            <v>If no, or partially, why?</v>
          </cell>
          <cell r="B84" t="str">
            <v>select_one ws_unfunctionality_reason</v>
          </cell>
          <cell r="C84" t="str">
            <v>ws_unfunctionality_reason</v>
          </cell>
          <cell r="D84" t="str">
            <v>If no, or partially, why?</v>
          </cell>
        </row>
        <row r="85">
          <cell r="A85" t="str">
            <v>Please specify</v>
          </cell>
          <cell r="B85" t="str">
            <v>text</v>
          </cell>
          <cell r="C85" t="str">
            <v>ws_unfunctionality_reason_other</v>
          </cell>
          <cell r="D85" t="str">
            <v>Please specify</v>
          </cell>
        </row>
        <row r="86">
          <cell r="A86" t="str">
            <v>If no, or partially, how long has it been non- or partially functional for?</v>
          </cell>
          <cell r="B86" t="str">
            <v>select_one ws_unfunctionality_time</v>
          </cell>
          <cell r="C86" t="str">
            <v>ws_unfunctionality_time</v>
          </cell>
          <cell r="D86" t="str">
            <v>If no, or partially, how long has it been non- or partially functional for?</v>
          </cell>
        </row>
        <row r="87">
          <cell r="A87" t="str">
            <v>When the waterpoint is broken or not functioning, where do you and your household get your water from?</v>
          </cell>
          <cell r="B87" t="str">
            <v>select_multiple ws_when_waterpoint_broken</v>
          </cell>
          <cell r="C87" t="str">
            <v>ws_when_waterpoint_broken</v>
          </cell>
          <cell r="D87" t="str">
            <v>When the waterpoint is broken or not functioning, where do you and your household get your water from?</v>
          </cell>
        </row>
        <row r="88">
          <cell r="A88" t="str">
            <v>Please specify</v>
          </cell>
          <cell r="B88" t="str">
            <v>text</v>
          </cell>
          <cell r="C88" t="str">
            <v>ws_when_waterpoint_broken_other</v>
          </cell>
          <cell r="D88" t="str">
            <v>Please specify</v>
          </cell>
        </row>
        <row r="89">
          <cell r="A89" t="str">
            <v xml:space="preserve">If any, in the past 3 months, what is the most frequent challenge you and/or members of your HH faced to access water? </v>
          </cell>
          <cell r="B89" t="str">
            <v>select_one water_access_challenge</v>
          </cell>
          <cell r="C89" t="str">
            <v>water_access_challenge</v>
          </cell>
          <cell r="D89" t="str">
            <v xml:space="preserve">If any, in the past 3 months, what is the most frequent challenge you and/or members of your HH faced to access water? </v>
          </cell>
        </row>
        <row r="90">
          <cell r="A90" t="str">
            <v>Please specify</v>
          </cell>
          <cell r="B90" t="str">
            <v>text</v>
          </cell>
          <cell r="C90" t="str">
            <v>water_access_challenge_other</v>
          </cell>
          <cell r="D90" t="str">
            <v>Please specify</v>
          </cell>
        </row>
        <row r="91">
          <cell r="A91" t="str">
            <v>How does your household adapt to lack of water?</v>
          </cell>
          <cell r="B91" t="str">
            <v>select_multiple lack_of_water_adapt</v>
          </cell>
          <cell r="C91" t="str">
            <v>lack_of_water_adapt</v>
          </cell>
          <cell r="D91" t="str">
            <v>How does your household adapt to lack of water?</v>
          </cell>
        </row>
        <row r="92">
          <cell r="A92" t="str">
            <v>Please specify when</v>
          </cell>
          <cell r="B92" t="str">
            <v>text</v>
          </cell>
          <cell r="C92" t="str">
            <v>lack_of_water_adapt_other</v>
          </cell>
          <cell r="D92" t="str">
            <v>Please specify when</v>
          </cell>
        </row>
        <row r="93">
          <cell r="A93" t="str">
            <v>Is the availability of water and amount of water your household is able to access different during different seasons of the year?</v>
          </cell>
          <cell r="B93" t="str">
            <v>select_one yes_no_dk</v>
          </cell>
          <cell r="C93" t="str">
            <v>access_water_different_in_seasons</v>
          </cell>
          <cell r="D93" t="str">
            <v>Is the availability of water and amount of water your household is able to access different during different seasons of the year?</v>
          </cell>
        </row>
        <row r="94">
          <cell r="A94" t="str">
            <v>During which months does your household find it most challenging to access water?</v>
          </cell>
          <cell r="B94" t="str">
            <v>select_multiple challengning_months_to_access_water</v>
          </cell>
          <cell r="C94" t="str">
            <v>challengning_months_to_access_water</v>
          </cell>
          <cell r="D94" t="str">
            <v>During which months does your household find it most challenging to access water?</v>
          </cell>
        </row>
        <row r="95">
          <cell r="A95" t="str">
            <v>Is there a quota limitation to access water?</v>
          </cell>
          <cell r="B95" t="str">
            <v>select_one yes_no_dk</v>
          </cell>
          <cell r="C95" t="str">
            <v>quota_to_access_water</v>
          </cell>
          <cell r="D95" t="str">
            <v>Is there a quota limitation to access water?</v>
          </cell>
        </row>
        <row r="96">
          <cell r="A96" t="str">
            <v>How many jerrycan (10L) are you allowed to get for your household in a day?</v>
          </cell>
          <cell r="B96" t="str">
            <v>integer</v>
          </cell>
          <cell r="C96" t="str">
            <v>num_jerrycan_allowed</v>
          </cell>
          <cell r="D96" t="str">
            <v>How many jerrycan (10L) are you allowed to get for your household in a day?</v>
          </cell>
        </row>
        <row r="97">
          <cell r="A97" t="str">
            <v>If any, which members of your household find it more difficult to access or collect water compared to others?</v>
          </cell>
          <cell r="B97" t="str">
            <v>select_multiple difficult_to_collect_water</v>
          </cell>
          <cell r="C97" t="str">
            <v>difficult_to_collect_water</v>
          </cell>
          <cell r="D97" t="str">
            <v>If any, which members of your household find it more difficult to access or collect water compared to others?</v>
          </cell>
        </row>
        <row r="98">
          <cell r="A98" t="str">
            <v>Please specify</v>
          </cell>
          <cell r="B98" t="str">
            <v>text</v>
          </cell>
          <cell r="C98" t="str">
            <v>difficult_to_collect_water_other</v>
          </cell>
          <cell r="D98" t="str">
            <v>Please specify</v>
          </cell>
        </row>
        <row r="99">
          <cell r="A99" t="str">
            <v>Why do they (boys) find it more difficult?</v>
          </cell>
          <cell r="B99" t="str">
            <v>select_multiple difficulties_to_collect_water</v>
          </cell>
          <cell r="C99" t="str">
            <v>boys_finds_difficulties_to_collect_water</v>
          </cell>
          <cell r="D99" t="str">
            <v>Why do they (boys) find it more difficult?</v>
          </cell>
        </row>
        <row r="100">
          <cell r="A100" t="str">
            <v>Please specify</v>
          </cell>
          <cell r="B100" t="str">
            <v>text</v>
          </cell>
          <cell r="C100" t="str">
            <v>boys_finds_difficulties_to_collect_water_other</v>
          </cell>
          <cell r="D100" t="str">
            <v>Please specify</v>
          </cell>
        </row>
        <row r="101">
          <cell r="A101" t="str">
            <v>Why do they (girls) find it more difficult?</v>
          </cell>
          <cell r="B101" t="str">
            <v>select_multiple difficulties_to_collect_water</v>
          </cell>
          <cell r="C101" t="str">
            <v>girls_finds_difficulties_to_collect_water</v>
          </cell>
          <cell r="D101" t="str">
            <v>Why do they (girls) find it more difficult?</v>
          </cell>
        </row>
        <row r="102">
          <cell r="A102" t="str">
            <v>Please specify</v>
          </cell>
          <cell r="B102" t="str">
            <v>text</v>
          </cell>
          <cell r="C102" t="str">
            <v>girls_finds_difficulties_to_collect_water_other</v>
          </cell>
          <cell r="D102" t="str">
            <v>Please specify</v>
          </cell>
        </row>
        <row r="103">
          <cell r="A103" t="str">
            <v>Why do they (men) find it more difficult?</v>
          </cell>
          <cell r="B103" t="str">
            <v>select_multiple difficulties_to_collect_water</v>
          </cell>
          <cell r="C103" t="str">
            <v>men_finds_difficulties_to_collect_water</v>
          </cell>
          <cell r="D103" t="str">
            <v>Why do they (men) find it more difficult?</v>
          </cell>
        </row>
        <row r="104">
          <cell r="A104" t="str">
            <v>Please specify</v>
          </cell>
          <cell r="B104" t="str">
            <v>text</v>
          </cell>
          <cell r="C104" t="str">
            <v>men_finds_difficulties_to_collect_water_other</v>
          </cell>
          <cell r="D104" t="str">
            <v>Please specify</v>
          </cell>
        </row>
        <row r="105">
          <cell r="A105" t="str">
            <v>Why do they (women) find it more difficult?</v>
          </cell>
          <cell r="B105" t="str">
            <v>select_multiple difficulties_to_collect_water</v>
          </cell>
          <cell r="C105" t="str">
            <v>women_finds_difficulties_to_collect_water</v>
          </cell>
          <cell r="D105" t="str">
            <v>Why do they (women) find it more difficult?</v>
          </cell>
        </row>
        <row r="106">
          <cell r="A106" t="str">
            <v>Please specify</v>
          </cell>
          <cell r="B106" t="str">
            <v>text</v>
          </cell>
          <cell r="C106" t="str">
            <v>women_finds_difficulties_to_collect_water_other</v>
          </cell>
          <cell r="D106" t="str">
            <v>Please specify</v>
          </cell>
        </row>
        <row r="107">
          <cell r="A107" t="str">
            <v>Why do they (elderly people) find it more difficult?</v>
          </cell>
          <cell r="B107" t="str">
            <v>select_multiple difficulties_to_collect_water</v>
          </cell>
          <cell r="C107" t="str">
            <v>elders_finds_difficulties_to_collect_water</v>
          </cell>
          <cell r="D107" t="str">
            <v>Why do they (elderly people) find it more difficult?</v>
          </cell>
        </row>
        <row r="108">
          <cell r="A108" t="str">
            <v>Please specify</v>
          </cell>
          <cell r="B108" t="str">
            <v>text</v>
          </cell>
          <cell r="C108" t="str">
            <v>elders_finds_difficulties_to_collect_water_other</v>
          </cell>
          <cell r="D108" t="str">
            <v>Please specify</v>
          </cell>
        </row>
        <row r="109">
          <cell r="A109" t="str">
            <v>Why do they (people with disabilities) find it more difficult?</v>
          </cell>
          <cell r="B109" t="str">
            <v>select_multiple difficulties_to_collect_water</v>
          </cell>
          <cell r="C109" t="str">
            <v>disabilities_finds_difficulties_to_collect_water</v>
          </cell>
          <cell r="D109" t="str">
            <v>Why do they (people with disabilities) find it more difficult?</v>
          </cell>
        </row>
        <row r="110">
          <cell r="A110" t="str">
            <v>Please specify</v>
          </cell>
          <cell r="B110" t="str">
            <v>text</v>
          </cell>
          <cell r="C110" t="str">
            <v>disabilities_finds_difficulties_to_collect_water_other</v>
          </cell>
          <cell r="D110" t="str">
            <v>Please specify</v>
          </cell>
        </row>
        <row r="111">
          <cell r="A111" t="str">
            <v>Do you or your household pay for water?</v>
          </cell>
          <cell r="B111" t="str">
            <v>select_one yes_no_dk</v>
          </cell>
          <cell r="C111" t="str">
            <v>hh_water_payment</v>
          </cell>
          <cell r="D111" t="str">
            <v>Do you or your household pay for water?</v>
          </cell>
        </row>
        <row r="112">
          <cell r="A112" t="str">
            <v>If yes, how much on average do you spend on water, per month?</v>
          </cell>
          <cell r="B112" t="str">
            <v>integer</v>
          </cell>
          <cell r="C112" t="str">
            <v>hh_water_payment_amount</v>
          </cell>
          <cell r="D112" t="str">
            <v>If yes, how much on average do you spend on water, per month?</v>
          </cell>
        </row>
        <row r="113">
          <cell r="A113" t="str">
            <v xml:space="preserve">How does your household treat the water you use for drinking? </v>
          </cell>
          <cell r="B113" t="str">
            <v>select_multiple water_treatment</v>
          </cell>
          <cell r="C113" t="str">
            <v>hh_water_treatment</v>
          </cell>
          <cell r="D113" t="str">
            <v xml:space="preserve">How does your household treat the water you use for drinking? </v>
          </cell>
        </row>
        <row r="114">
          <cell r="A114" t="str">
            <v>Please specify</v>
          </cell>
          <cell r="B114" t="str">
            <v>text</v>
          </cell>
          <cell r="C114" t="str">
            <v>hh_water_treatment_other</v>
          </cell>
          <cell r="D114" t="str">
            <v>Please specify</v>
          </cell>
        </row>
        <row r="115">
          <cell r="A115" t="str">
            <v>In the last 12 months, have you or a member of your household  felt unsafe when accessing a public water source?</v>
          </cell>
          <cell r="B115" t="str">
            <v>select_one yes_no_dk</v>
          </cell>
          <cell r="C115" t="str">
            <v>felt_unsafe_when_accessing_public_water_source</v>
          </cell>
          <cell r="D115" t="str">
            <v>In the last 12 months, have you or a member of your household  felt unsafe when accessing a public water source?</v>
          </cell>
        </row>
        <row r="116">
          <cell r="A116" t="str">
            <v>What made you, or them, feel unsafe?</v>
          </cell>
          <cell r="B116" t="str">
            <v>select_multiple felt_unsafe_reason</v>
          </cell>
          <cell r="C116" t="str">
            <v>felt_unsafe_reason</v>
          </cell>
          <cell r="D116" t="str">
            <v>What made you, or them, feel unsafe?</v>
          </cell>
        </row>
        <row r="117">
          <cell r="A117" t="str">
            <v>Please specify</v>
          </cell>
          <cell r="B117" t="str">
            <v>text</v>
          </cell>
          <cell r="C117" t="str">
            <v>felt_unsafe_reason_other</v>
          </cell>
          <cell r="D117" t="str">
            <v>Please specify</v>
          </cell>
        </row>
        <row r="118">
          <cell r="A118" t="str">
            <v>How informed do you think you and the members of your household are about the availabilty water and services in your locality?</v>
          </cell>
          <cell r="B118" t="str">
            <v>select_one information_availability</v>
          </cell>
          <cell r="C118" t="str">
            <v>hh_informed_about_water_services_availability</v>
          </cell>
          <cell r="D118" t="str">
            <v>How informed do you think you and the members of your household are about the availabilty water and services in your locality?</v>
          </cell>
        </row>
        <row r="119">
          <cell r="A119" t="str">
            <v>If no, or only somewhat, why?</v>
          </cell>
          <cell r="B119" t="str">
            <v>select_multiple received_information_not_accurte</v>
          </cell>
          <cell r="C119" t="str">
            <v>received_information_no_accurte</v>
          </cell>
          <cell r="D119" t="str">
            <v>If no, or only somewhat, why?</v>
          </cell>
        </row>
        <row r="120">
          <cell r="A120" t="str">
            <v>Please specify</v>
          </cell>
          <cell r="B120" t="str">
            <v>text</v>
          </cell>
          <cell r="C120" t="str">
            <v>received_information_no_accurte_other</v>
          </cell>
          <cell r="D120" t="str">
            <v>Please specify</v>
          </cell>
        </row>
        <row r="121">
          <cell r="A121" t="str">
            <v>How do you receive information about water services in your locality?</v>
          </cell>
          <cell r="B121" t="str">
            <v>select_multiple receive_information_services</v>
          </cell>
          <cell r="C121" t="str">
            <v>receive_information_about_water_services</v>
          </cell>
          <cell r="D121" t="str">
            <v>How do you receive information about water services in your locality?</v>
          </cell>
        </row>
        <row r="122">
          <cell r="A122" t="str">
            <v>Please specify who</v>
          </cell>
          <cell r="B122" t="str">
            <v>text</v>
          </cell>
          <cell r="C122" t="str">
            <v>receive_information_about_water_services_cl</v>
          </cell>
          <cell r="D122" t="str">
            <v>Please specify who</v>
          </cell>
        </row>
        <row r="123">
          <cell r="A123" t="str">
            <v>Please specify</v>
          </cell>
          <cell r="B123" t="str">
            <v>text</v>
          </cell>
          <cell r="C123" t="str">
            <v>receive_information_about_water_services_other</v>
          </cell>
          <cell r="D123" t="str">
            <v>Please specify</v>
          </cell>
        </row>
        <row r="124">
          <cell r="A124" t="str">
            <v>How would you like to receive information about water in your locality in the future?</v>
          </cell>
          <cell r="B124" t="str">
            <v>select_multiple receive_information_services</v>
          </cell>
          <cell r="C124" t="str">
            <v>water_info_preference</v>
          </cell>
          <cell r="D124" t="str">
            <v>How would you like to receive information about water in your locality in the future?</v>
          </cell>
        </row>
        <row r="125">
          <cell r="A125" t="str">
            <v>Please specify who</v>
          </cell>
          <cell r="B125" t="str">
            <v>text</v>
          </cell>
          <cell r="C125" t="str">
            <v>water_info_preference_cl</v>
          </cell>
          <cell r="D125" t="str">
            <v>Please specify who</v>
          </cell>
        </row>
        <row r="126">
          <cell r="A126" t="str">
            <v>Please specify</v>
          </cell>
          <cell r="B126" t="str">
            <v>text</v>
          </cell>
          <cell r="C126" t="str">
            <v>water_info_preference_other</v>
          </cell>
          <cell r="D126" t="str">
            <v>Please specify</v>
          </cell>
        </row>
        <row r="127">
          <cell r="A127" t="str">
            <v xml:space="preserve">What would be the first most important improvement needed in water service in the kebele? </v>
          </cell>
          <cell r="B127" t="str">
            <v>select_one wash_improvement_needed</v>
          </cell>
          <cell r="C127" t="str">
            <v>wash_improvement_needed</v>
          </cell>
          <cell r="D127" t="str">
            <v xml:space="preserve">What would be the first most important improvement needed in water service in the kebele? </v>
          </cell>
        </row>
        <row r="128">
          <cell r="A128" t="str">
            <v>Please specify</v>
          </cell>
          <cell r="B128" t="str">
            <v>text</v>
          </cell>
          <cell r="C128" t="str">
            <v>wash_improvement_needed_other</v>
          </cell>
          <cell r="D128" t="str">
            <v>Please specify</v>
          </cell>
        </row>
        <row r="129">
          <cell r="A129" t="str">
            <v>What would be the second most important improvement needed in water service in the kebele?</v>
          </cell>
          <cell r="B129" t="str">
            <v>select_one wash_improvement_needed</v>
          </cell>
          <cell r="C129" t="str">
            <v>wash_improvement_needed2</v>
          </cell>
          <cell r="D129" t="str">
            <v>What would be the second most important improvement needed in water service in the kebele?</v>
          </cell>
        </row>
        <row r="130">
          <cell r="A130" t="str">
            <v>Please specify</v>
          </cell>
          <cell r="B130" t="str">
            <v>text</v>
          </cell>
          <cell r="C130" t="str">
            <v>wash_improvement_needed2_other</v>
          </cell>
          <cell r="D130" t="str">
            <v>Please specify</v>
          </cell>
        </row>
        <row r="131">
          <cell r="A131" t="str">
            <v>What would be the third most important improvement needed in water service in the kebele?</v>
          </cell>
          <cell r="B131" t="str">
            <v>select_one wash_improvement_needed</v>
          </cell>
          <cell r="C131" t="str">
            <v>wash_improvement_needed3</v>
          </cell>
          <cell r="D131" t="str">
            <v>What would be the third most important improvement needed in water service in the kebele?</v>
          </cell>
        </row>
        <row r="132">
          <cell r="A132" t="str">
            <v>Please specify</v>
          </cell>
          <cell r="B132" t="str">
            <v>text</v>
          </cell>
          <cell r="C132" t="str">
            <v>wash_improvement_needed3_other</v>
          </cell>
          <cell r="D132" t="str">
            <v>Please specify</v>
          </cell>
        </row>
        <row r="133">
          <cell r="A133">
            <v>0</v>
          </cell>
          <cell r="B133" t="str">
            <v>end_group</v>
          </cell>
        </row>
        <row r="134">
          <cell r="A134" t="str">
            <v>Health</v>
          </cell>
          <cell r="B134" t="str">
            <v>begin_group</v>
          </cell>
          <cell r="C134" t="str">
            <v>grp_health</v>
          </cell>
          <cell r="D134" t="str">
            <v>Health</v>
          </cell>
        </row>
        <row r="135">
          <cell r="A135" t="str">
            <v>Please select (tick) every type of health facility that your HH commonly accessed over the past 12 months</v>
          </cell>
          <cell r="B135" t="str">
            <v>select_multiple access_health_facility</v>
          </cell>
          <cell r="C135" t="str">
            <v>access_health_facilities</v>
          </cell>
          <cell r="D135" t="str">
            <v>Please select (tick) every type of health facility that your HH commonly accessed over the past 12 months</v>
          </cell>
        </row>
        <row r="136">
          <cell r="A136" t="str">
            <v>Please specify</v>
          </cell>
          <cell r="B136" t="str">
            <v>text</v>
          </cell>
          <cell r="C136" t="str">
            <v>access_health_facilities_other</v>
          </cell>
          <cell r="D136" t="str">
            <v>Please specify</v>
          </cell>
        </row>
        <row r="137">
          <cell r="A137" t="str">
            <v>Health post</v>
          </cell>
          <cell r="B137" t="str">
            <v>begin_group</v>
          </cell>
          <cell r="C137" t="str">
            <v>grp_health2</v>
          </cell>
          <cell r="D137" t="str">
            <v>Health post</v>
          </cell>
        </row>
        <row r="138">
          <cell r="A138" t="str">
            <v>Are any services currently operating from this facility (health post)?</v>
          </cell>
          <cell r="B138" t="str">
            <v>select_one operating_facility_services</v>
          </cell>
          <cell r="C138" t="str">
            <v>operating_health_post</v>
          </cell>
          <cell r="D138" t="str">
            <v>Are any services currently operating from this facility (health post)?</v>
          </cell>
        </row>
        <row r="139">
          <cell r="A139" t="str">
            <v>If partial or not functionality, why?</v>
          </cell>
          <cell r="B139" t="str">
            <v>select_multiple services_non_functionality_reason</v>
          </cell>
          <cell r="C139" t="str">
            <v>health_post_non_functionality_reason</v>
          </cell>
          <cell r="D139" t="str">
            <v>If partial or not functionality, why?</v>
          </cell>
        </row>
        <row r="140">
          <cell r="A140" t="str">
            <v>Please specify</v>
          </cell>
          <cell r="B140" t="str">
            <v>text</v>
          </cell>
          <cell r="C140" t="str">
            <v>health_post_non_functionality_reason_other</v>
          </cell>
          <cell r="D140" t="str">
            <v>Please specify</v>
          </cell>
        </row>
        <row r="141">
          <cell r="A141" t="str">
            <v>Which health services are available at this facility?</v>
          </cell>
          <cell r="B141" t="str">
            <v>select_multiple health_services_available</v>
          </cell>
          <cell r="C141" t="str">
            <v>health_post_services</v>
          </cell>
          <cell r="D141" t="str">
            <v>Which health services are available at this facility?</v>
          </cell>
        </row>
        <row r="142">
          <cell r="A142" t="str">
            <v>Please specify</v>
          </cell>
          <cell r="B142" t="str">
            <v>text</v>
          </cell>
          <cell r="C142" t="str">
            <v>health_post_services_other</v>
          </cell>
          <cell r="D142" t="str">
            <v>Please specify</v>
          </cell>
        </row>
        <row r="143">
          <cell r="A143" t="str">
            <v>Where is this health facility located?</v>
          </cell>
          <cell r="B143" t="str">
            <v>select_one health_facility_location</v>
          </cell>
          <cell r="C143" t="str">
            <v>health_post_location</v>
          </cell>
          <cell r="D143" t="str">
            <v>Where is this health facility located?</v>
          </cell>
        </row>
        <row r="144">
          <cell r="A144" t="str">
            <v>Please specify</v>
          </cell>
          <cell r="B144" t="str">
            <v>text</v>
          </cell>
          <cell r="C144" t="str">
            <v>health_post_location_other</v>
          </cell>
          <cell r="D144" t="str">
            <v>Please specify</v>
          </cell>
        </row>
        <row r="145">
          <cell r="A145" t="str">
            <v>If located out of kebele, why were you not able to access and get service in a health facility within the kebele?</v>
          </cell>
          <cell r="B145" t="str">
            <v>select_multiple not_able_to_access_reasons</v>
          </cell>
          <cell r="C145" t="str">
            <v>health_post_located_out_of_kebele</v>
          </cell>
          <cell r="D145" t="str">
            <v>If located out of kebele, why were you not able to access and get service in a health facility within the kebele?</v>
          </cell>
        </row>
        <row r="146">
          <cell r="A146" t="str">
            <v>Please specify</v>
          </cell>
          <cell r="B146" t="str">
            <v>text</v>
          </cell>
          <cell r="C146" t="str">
            <v>health_post_located_out_of_kebele_other</v>
          </cell>
          <cell r="D146" t="str">
            <v>Please specify</v>
          </cell>
        </row>
        <row r="147">
          <cell r="A147" t="str">
            <v>How long does it take for members of your household to travel to this health facility</v>
          </cell>
          <cell r="B147" t="str">
            <v>select_one travel_time</v>
          </cell>
          <cell r="C147" t="str">
            <v>travel_time_to_health_post</v>
          </cell>
          <cell r="D147" t="str">
            <v>How long does it take for members of your household to travel to this health facility</v>
          </cell>
        </row>
        <row r="148">
          <cell r="A148" t="str">
            <v>Who owns this health facility ?</v>
          </cell>
          <cell r="B148" t="str">
            <v>select_one facility_owner</v>
          </cell>
          <cell r="C148" t="str">
            <v>health_post_owner</v>
          </cell>
          <cell r="D148" t="str">
            <v>Who owns this health facility ?</v>
          </cell>
        </row>
        <row r="149">
          <cell r="A149" t="str">
            <v>Please specify</v>
          </cell>
          <cell r="B149" t="str">
            <v>text</v>
          </cell>
          <cell r="C149" t="str">
            <v>health_post_owner_other</v>
          </cell>
          <cell r="D149" t="str">
            <v>Please specify</v>
          </cell>
        </row>
        <row r="150">
          <cell r="A150">
            <v>0</v>
          </cell>
          <cell r="B150" t="str">
            <v>end_group</v>
          </cell>
        </row>
        <row r="151">
          <cell r="A151" t="str">
            <v>Health centre</v>
          </cell>
          <cell r="B151" t="str">
            <v>begin_group</v>
          </cell>
          <cell r="C151" t="str">
            <v>grp_health3</v>
          </cell>
          <cell r="D151" t="str">
            <v>Health centre</v>
          </cell>
        </row>
        <row r="152">
          <cell r="A152" t="str">
            <v>Are any services currently operating from this facility (health centre)?</v>
          </cell>
          <cell r="B152" t="str">
            <v>select_one operating_facility_services</v>
          </cell>
          <cell r="C152" t="str">
            <v>operating_health_centre</v>
          </cell>
          <cell r="D152" t="str">
            <v>Are any services currently operating from this facility (health centre)?</v>
          </cell>
        </row>
        <row r="153">
          <cell r="A153" t="str">
            <v>If partial or not functionality, why?</v>
          </cell>
          <cell r="B153" t="str">
            <v>select_multiple services_non_functionality_reason</v>
          </cell>
          <cell r="C153" t="str">
            <v>health_centre_non_functionality_reason</v>
          </cell>
          <cell r="D153" t="str">
            <v>If partial or not functionality, why?</v>
          </cell>
        </row>
        <row r="154">
          <cell r="A154" t="str">
            <v>Please specify</v>
          </cell>
          <cell r="B154" t="str">
            <v>text</v>
          </cell>
          <cell r="C154" t="str">
            <v>health_centre_non_functionality_reason_other</v>
          </cell>
          <cell r="D154" t="str">
            <v>Please specify</v>
          </cell>
        </row>
        <row r="155">
          <cell r="A155" t="str">
            <v>Which health services are available at this facility?</v>
          </cell>
          <cell r="B155" t="str">
            <v>select_multiple health_services_available</v>
          </cell>
          <cell r="C155" t="str">
            <v>health_centre_services</v>
          </cell>
          <cell r="D155" t="str">
            <v>Which health services are available at this facility?</v>
          </cell>
        </row>
        <row r="156">
          <cell r="A156" t="str">
            <v>Please specify</v>
          </cell>
          <cell r="B156" t="str">
            <v>text</v>
          </cell>
          <cell r="C156" t="str">
            <v>health_centre_services_other</v>
          </cell>
          <cell r="D156" t="str">
            <v>Please specify</v>
          </cell>
        </row>
        <row r="157">
          <cell r="A157" t="str">
            <v>Where is this health facility located?</v>
          </cell>
          <cell r="B157" t="str">
            <v>select_one health_facility_location</v>
          </cell>
          <cell r="C157" t="str">
            <v>health_centre_location</v>
          </cell>
          <cell r="D157" t="str">
            <v>Where is this health facility located?</v>
          </cell>
        </row>
        <row r="158">
          <cell r="A158" t="str">
            <v>Please specify</v>
          </cell>
          <cell r="B158" t="str">
            <v>text</v>
          </cell>
          <cell r="C158" t="str">
            <v>health_centre_location_other</v>
          </cell>
          <cell r="D158" t="str">
            <v>Please specify</v>
          </cell>
        </row>
        <row r="159">
          <cell r="A159" t="str">
            <v>If located out of kebele, why were you not able to access and get service in a health facility within the kebele?</v>
          </cell>
          <cell r="B159" t="str">
            <v>select_multiple not_able_to_access_reasons</v>
          </cell>
          <cell r="C159" t="str">
            <v>health_centre_located_out_of_kebele</v>
          </cell>
          <cell r="D159" t="str">
            <v>If located out of kebele, why were you not able to access and get service in a health facility within the kebele?</v>
          </cell>
        </row>
        <row r="160">
          <cell r="A160" t="str">
            <v>Please specify</v>
          </cell>
          <cell r="B160" t="str">
            <v>text</v>
          </cell>
          <cell r="C160" t="str">
            <v>health_centre_located_out_of_kebele_other</v>
          </cell>
          <cell r="D160" t="str">
            <v>Please specify</v>
          </cell>
        </row>
        <row r="161">
          <cell r="A161" t="str">
            <v>How long does it take for members of your household to travel to this health facility</v>
          </cell>
          <cell r="B161" t="str">
            <v>select_one travel_time</v>
          </cell>
          <cell r="C161" t="str">
            <v>travel_time_to_health_centre</v>
          </cell>
          <cell r="D161" t="str">
            <v>How long does it take for members of your household to travel to this health facility</v>
          </cell>
        </row>
        <row r="162">
          <cell r="A162" t="str">
            <v>Who owns this health facility ?</v>
          </cell>
          <cell r="B162" t="str">
            <v>select_one facility_owner</v>
          </cell>
          <cell r="C162" t="str">
            <v>health_centre_owner</v>
          </cell>
          <cell r="D162" t="str">
            <v>Who owns this health facility ?</v>
          </cell>
        </row>
        <row r="163">
          <cell r="A163" t="str">
            <v>Please specify</v>
          </cell>
          <cell r="B163" t="str">
            <v>text</v>
          </cell>
          <cell r="C163" t="str">
            <v>health_centre_owner_other</v>
          </cell>
          <cell r="D163" t="str">
            <v>Please specify</v>
          </cell>
        </row>
        <row r="164">
          <cell r="A164">
            <v>0</v>
          </cell>
          <cell r="B164" t="str">
            <v>end_group</v>
          </cell>
        </row>
        <row r="165">
          <cell r="A165" t="str">
            <v>Hospital</v>
          </cell>
          <cell r="B165" t="str">
            <v>begin_group</v>
          </cell>
          <cell r="C165" t="str">
            <v>grp_health4</v>
          </cell>
          <cell r="D165" t="str">
            <v>Hospital</v>
          </cell>
        </row>
        <row r="166">
          <cell r="A166" t="str">
            <v>Are any services currently operating from this facility (hospital)?</v>
          </cell>
          <cell r="B166" t="str">
            <v>select_one operating_facility_services</v>
          </cell>
          <cell r="C166" t="str">
            <v>operating_hospital</v>
          </cell>
          <cell r="D166" t="str">
            <v>Are any services currently operating from this facility (hospital)?</v>
          </cell>
        </row>
        <row r="167">
          <cell r="A167" t="str">
            <v>If partial or not functionality, why?</v>
          </cell>
          <cell r="B167" t="str">
            <v>select_multiple services_non_functionality_reason</v>
          </cell>
          <cell r="C167" t="str">
            <v>hospital_non_functionality_reason</v>
          </cell>
          <cell r="D167" t="str">
            <v>If partial or not functionality, why?</v>
          </cell>
        </row>
        <row r="168">
          <cell r="A168" t="str">
            <v>Please specify</v>
          </cell>
          <cell r="B168" t="str">
            <v>text</v>
          </cell>
          <cell r="C168" t="str">
            <v>hospital_non_functionality_reason_other</v>
          </cell>
          <cell r="D168" t="str">
            <v>Please specify</v>
          </cell>
        </row>
        <row r="169">
          <cell r="A169" t="str">
            <v>Which health services are available at this facility?</v>
          </cell>
          <cell r="B169" t="str">
            <v>select_multiple health_services_available</v>
          </cell>
          <cell r="C169" t="str">
            <v>hopsital_services</v>
          </cell>
          <cell r="D169" t="str">
            <v>Which health services are available at this facility?</v>
          </cell>
        </row>
        <row r="170">
          <cell r="A170" t="str">
            <v>Please specify</v>
          </cell>
          <cell r="B170" t="str">
            <v>text</v>
          </cell>
          <cell r="C170" t="str">
            <v>hopsital_services_other</v>
          </cell>
          <cell r="D170" t="str">
            <v>Please specify</v>
          </cell>
        </row>
        <row r="171">
          <cell r="A171" t="str">
            <v>Where is this health facility located?</v>
          </cell>
          <cell r="B171" t="str">
            <v>select_one health_facility_location</v>
          </cell>
          <cell r="C171" t="str">
            <v>hopsital_location</v>
          </cell>
          <cell r="D171" t="str">
            <v>Where is this health facility located?</v>
          </cell>
        </row>
        <row r="172">
          <cell r="A172" t="str">
            <v>Please specify</v>
          </cell>
          <cell r="B172" t="str">
            <v>text</v>
          </cell>
          <cell r="C172" t="str">
            <v>hopsital_location_other</v>
          </cell>
          <cell r="D172" t="str">
            <v>Please specify</v>
          </cell>
        </row>
        <row r="173">
          <cell r="A173" t="str">
            <v>If located out of kebele, why were you not able to access and get service in a health facility within the kebele?</v>
          </cell>
          <cell r="B173" t="str">
            <v>select_multiple not_able_to_access_reasons</v>
          </cell>
          <cell r="C173" t="str">
            <v>hopsital_located_out_of_kebele</v>
          </cell>
          <cell r="D173" t="str">
            <v>If located out of kebele, why were you not able to access and get service in a health facility within the kebele?</v>
          </cell>
        </row>
        <row r="174">
          <cell r="A174" t="str">
            <v>Please specify</v>
          </cell>
          <cell r="B174" t="str">
            <v>text</v>
          </cell>
          <cell r="C174" t="str">
            <v>hopsital_located_out_of_kebele_other</v>
          </cell>
          <cell r="D174" t="str">
            <v>Please specify</v>
          </cell>
        </row>
        <row r="175">
          <cell r="A175" t="str">
            <v>How long does it take for members of your household to travel to this health facility</v>
          </cell>
          <cell r="B175" t="str">
            <v>select_one travel_time</v>
          </cell>
          <cell r="C175" t="str">
            <v>travel_time_to_hopsital</v>
          </cell>
          <cell r="D175" t="str">
            <v>How long does it take for members of your household to travel to this health facility</v>
          </cell>
        </row>
        <row r="176">
          <cell r="A176" t="str">
            <v>Who owns this health facility ?</v>
          </cell>
          <cell r="B176" t="str">
            <v>select_one facility_owner</v>
          </cell>
          <cell r="C176" t="str">
            <v>hopsital_owner</v>
          </cell>
          <cell r="D176" t="str">
            <v>Who owns this health facility ?</v>
          </cell>
        </row>
        <row r="177">
          <cell r="A177" t="str">
            <v>Please specify</v>
          </cell>
          <cell r="B177" t="str">
            <v>text</v>
          </cell>
          <cell r="C177" t="str">
            <v>hopsital_owner_other</v>
          </cell>
          <cell r="D177" t="str">
            <v>Please specify</v>
          </cell>
        </row>
        <row r="178">
          <cell r="A178">
            <v>0</v>
          </cell>
          <cell r="B178" t="str">
            <v>end_group</v>
          </cell>
        </row>
        <row r="179">
          <cell r="A179" t="str">
            <v>Pharmacy</v>
          </cell>
          <cell r="B179" t="str">
            <v>begin_group</v>
          </cell>
          <cell r="C179" t="str">
            <v>grp_health5</v>
          </cell>
          <cell r="D179" t="str">
            <v>Pharmacy</v>
          </cell>
        </row>
        <row r="180">
          <cell r="A180" t="str">
            <v>Are any services currently operating from this facility (pharmacy)?</v>
          </cell>
          <cell r="B180" t="str">
            <v>select_one operating_facility_services</v>
          </cell>
          <cell r="C180" t="str">
            <v>operating_pharmacy</v>
          </cell>
          <cell r="D180" t="str">
            <v>Are any services currently operating from this facility (pharmacy)?</v>
          </cell>
        </row>
        <row r="181">
          <cell r="A181" t="str">
            <v>If partial or not functionality, why?</v>
          </cell>
          <cell r="B181" t="str">
            <v>select_multiple services_non_functionality_reason</v>
          </cell>
          <cell r="C181" t="str">
            <v>pharmacy_non_functionality_reason</v>
          </cell>
          <cell r="D181" t="str">
            <v>If partial or not functionality, why?</v>
          </cell>
        </row>
        <row r="182">
          <cell r="A182" t="str">
            <v>Please specify</v>
          </cell>
          <cell r="B182" t="str">
            <v>text</v>
          </cell>
          <cell r="C182" t="str">
            <v>pharmacy_non_functionality_reason_other</v>
          </cell>
          <cell r="D182" t="str">
            <v>Please specify</v>
          </cell>
        </row>
        <row r="183">
          <cell r="A183" t="str">
            <v>Which health services are available at this facility?</v>
          </cell>
          <cell r="B183" t="str">
            <v>select_multiple health_services_available</v>
          </cell>
          <cell r="C183" t="str">
            <v>pharmacy_services</v>
          </cell>
          <cell r="D183" t="str">
            <v>Which health services are available at this facility?</v>
          </cell>
        </row>
        <row r="184">
          <cell r="A184" t="str">
            <v>Please specify</v>
          </cell>
          <cell r="B184" t="str">
            <v>text</v>
          </cell>
          <cell r="C184" t="str">
            <v>pharmacy_services_other</v>
          </cell>
          <cell r="D184" t="str">
            <v>Please specify</v>
          </cell>
        </row>
        <row r="185">
          <cell r="A185" t="str">
            <v>Where is this health facility located?</v>
          </cell>
          <cell r="B185" t="str">
            <v>select_one health_facility_location</v>
          </cell>
          <cell r="C185" t="str">
            <v>pharmacy_location</v>
          </cell>
          <cell r="D185" t="str">
            <v>Where is this health facility located?</v>
          </cell>
        </row>
        <row r="186">
          <cell r="A186" t="str">
            <v>Please specify</v>
          </cell>
          <cell r="B186" t="str">
            <v>text</v>
          </cell>
          <cell r="C186" t="str">
            <v>pharmacy_location_other</v>
          </cell>
          <cell r="D186" t="str">
            <v>Please specify</v>
          </cell>
        </row>
        <row r="187">
          <cell r="A187" t="str">
            <v>If located out of kebele, why were you not able to access and get service in a health facility within the kebele?</v>
          </cell>
          <cell r="B187" t="str">
            <v>select_multiple not_able_to_access_reasons</v>
          </cell>
          <cell r="C187" t="str">
            <v>pharmacy_located_out_of_kebele</v>
          </cell>
          <cell r="D187" t="str">
            <v>If located out of kebele, why were you not able to access and get service in a health facility within the kebele?</v>
          </cell>
        </row>
        <row r="188">
          <cell r="A188" t="str">
            <v>Please specify</v>
          </cell>
          <cell r="B188" t="str">
            <v>text</v>
          </cell>
          <cell r="C188" t="str">
            <v>pharmacy_located_out_of_kebele_other</v>
          </cell>
          <cell r="D188" t="str">
            <v>Please specify</v>
          </cell>
        </row>
        <row r="189">
          <cell r="A189" t="str">
            <v>How long does it take for members of your household to travel to this health facility</v>
          </cell>
          <cell r="B189" t="str">
            <v>select_one travel_time</v>
          </cell>
          <cell r="C189" t="str">
            <v>travel_time_to_pharmacy</v>
          </cell>
          <cell r="D189" t="str">
            <v>How long does it take for members of your household to travel to this health facility</v>
          </cell>
        </row>
        <row r="190">
          <cell r="A190" t="str">
            <v>Who owns this health facility ?</v>
          </cell>
          <cell r="B190" t="str">
            <v>select_one facility_owner</v>
          </cell>
          <cell r="C190" t="str">
            <v>pharmacy_owner</v>
          </cell>
          <cell r="D190" t="str">
            <v>Who owns this health facility ?</v>
          </cell>
        </row>
        <row r="191">
          <cell r="A191" t="str">
            <v>Please specify</v>
          </cell>
          <cell r="B191" t="str">
            <v>text</v>
          </cell>
          <cell r="C191" t="str">
            <v>pharmacy_owner_other</v>
          </cell>
          <cell r="D191" t="str">
            <v>Please specify</v>
          </cell>
        </row>
        <row r="192">
          <cell r="A192">
            <v>0</v>
          </cell>
          <cell r="B192" t="str">
            <v>end_group</v>
          </cell>
        </row>
        <row r="193">
          <cell r="A193" t="str">
            <v>Dispensary</v>
          </cell>
          <cell r="B193" t="str">
            <v>begin_group</v>
          </cell>
          <cell r="C193" t="str">
            <v>grp_health6</v>
          </cell>
          <cell r="D193" t="str">
            <v>Dispensary</v>
          </cell>
        </row>
        <row r="194">
          <cell r="A194" t="str">
            <v>Are any services currently operating from this facility?</v>
          </cell>
          <cell r="B194" t="str">
            <v>select_one operating_facility_services</v>
          </cell>
          <cell r="C194" t="str">
            <v>operating_dispensary</v>
          </cell>
          <cell r="D194" t="str">
            <v>Are any services currently operating from this facility?</v>
          </cell>
        </row>
        <row r="195">
          <cell r="A195" t="str">
            <v>If partial or not functionality, why?</v>
          </cell>
          <cell r="B195" t="str">
            <v>select_multiple services_non_functionality_reason</v>
          </cell>
          <cell r="C195" t="str">
            <v>dispensary_non_functionality_reason</v>
          </cell>
          <cell r="D195" t="str">
            <v>If partial or not functionality, why?</v>
          </cell>
        </row>
        <row r="196">
          <cell r="A196" t="str">
            <v>Please specify</v>
          </cell>
          <cell r="B196" t="str">
            <v>text</v>
          </cell>
          <cell r="C196" t="str">
            <v>dispensary_non_functionality_reason_other</v>
          </cell>
          <cell r="D196" t="str">
            <v>Please specify</v>
          </cell>
        </row>
        <row r="197">
          <cell r="A197" t="str">
            <v>Which health services are available at this facility?</v>
          </cell>
          <cell r="B197" t="str">
            <v>select_multiple health_services_available</v>
          </cell>
          <cell r="C197" t="str">
            <v>dispensary_services</v>
          </cell>
          <cell r="D197" t="str">
            <v>Which health services are available at this facility?</v>
          </cell>
        </row>
        <row r="198">
          <cell r="A198" t="str">
            <v>Please specify</v>
          </cell>
          <cell r="B198" t="str">
            <v>text</v>
          </cell>
          <cell r="C198" t="str">
            <v>dispensary_services_other</v>
          </cell>
          <cell r="D198" t="str">
            <v>Please specify</v>
          </cell>
        </row>
        <row r="199">
          <cell r="A199" t="str">
            <v>Where is this health facility located?</v>
          </cell>
          <cell r="B199" t="str">
            <v>select_one health_facility_location</v>
          </cell>
          <cell r="C199" t="str">
            <v>dispensary_location</v>
          </cell>
          <cell r="D199" t="str">
            <v>Where is this health facility located?</v>
          </cell>
        </row>
        <row r="200">
          <cell r="A200" t="str">
            <v>Please specify</v>
          </cell>
          <cell r="B200" t="str">
            <v>text</v>
          </cell>
          <cell r="C200" t="str">
            <v>dispensary_location_other</v>
          </cell>
          <cell r="D200" t="str">
            <v>Please specify</v>
          </cell>
        </row>
        <row r="201">
          <cell r="A201" t="str">
            <v>If located out of kebele, why were you not able to access and get service in a health facility within the kebele?</v>
          </cell>
          <cell r="B201" t="str">
            <v>select_multiple not_able_to_access_reasons</v>
          </cell>
          <cell r="C201" t="str">
            <v>dispensary_located_out_of_kebele</v>
          </cell>
          <cell r="D201" t="str">
            <v>If located out of kebele, why were you not able to access and get service in a health facility within the kebele?</v>
          </cell>
        </row>
        <row r="202">
          <cell r="A202" t="str">
            <v>Please specify</v>
          </cell>
          <cell r="B202" t="str">
            <v>text</v>
          </cell>
          <cell r="C202" t="str">
            <v>dispensary_located_out_of_kebele_other</v>
          </cell>
          <cell r="D202" t="str">
            <v>Please specify</v>
          </cell>
        </row>
        <row r="203">
          <cell r="A203" t="str">
            <v>How long does it take for members of your household to travel to this health facility</v>
          </cell>
          <cell r="B203" t="str">
            <v>select_one travel_time</v>
          </cell>
          <cell r="C203" t="str">
            <v>travel_time_to_dispensary</v>
          </cell>
          <cell r="D203" t="str">
            <v>How long does it take for members of your household to travel to this health facility</v>
          </cell>
        </row>
        <row r="204">
          <cell r="A204" t="str">
            <v>Who owns this health facility ?</v>
          </cell>
          <cell r="B204" t="str">
            <v>select_one facility_owner</v>
          </cell>
          <cell r="C204" t="str">
            <v>dispensary_owner</v>
          </cell>
          <cell r="D204" t="str">
            <v>Who owns this health facility ?</v>
          </cell>
        </row>
        <row r="205">
          <cell r="A205" t="str">
            <v>Please specify</v>
          </cell>
          <cell r="B205" t="str">
            <v>text</v>
          </cell>
          <cell r="C205" t="str">
            <v>dispensary_owner_other</v>
          </cell>
          <cell r="D205" t="str">
            <v>Please specify</v>
          </cell>
        </row>
        <row r="206">
          <cell r="A206">
            <v>0</v>
          </cell>
          <cell r="B206" t="str">
            <v>end_group</v>
          </cell>
        </row>
        <row r="207">
          <cell r="A207" t="str">
            <v>Mobile clinics</v>
          </cell>
          <cell r="B207" t="str">
            <v>begin_group</v>
          </cell>
          <cell r="C207" t="str">
            <v>grp_health7</v>
          </cell>
          <cell r="D207" t="str">
            <v>Mobile clinics</v>
          </cell>
        </row>
        <row r="208">
          <cell r="A208" t="str">
            <v>Are any services currently operating from this facility (mobile clincs)?</v>
          </cell>
          <cell r="B208" t="str">
            <v>select_one operating_facility_services</v>
          </cell>
          <cell r="C208" t="str">
            <v>operating_mobile_clinics</v>
          </cell>
          <cell r="D208" t="str">
            <v>Are any services currently operating from this facility (mobile clincs)?</v>
          </cell>
        </row>
        <row r="209">
          <cell r="A209" t="str">
            <v>If partial or not functionality, why?</v>
          </cell>
          <cell r="B209" t="str">
            <v>select_multiple services_non_functionality_reason</v>
          </cell>
          <cell r="C209" t="str">
            <v>mobile_clinics_non_functionality_reason</v>
          </cell>
          <cell r="D209" t="str">
            <v>If partial or not functionality, why?</v>
          </cell>
        </row>
        <row r="210">
          <cell r="A210" t="str">
            <v>Please specify</v>
          </cell>
          <cell r="B210" t="str">
            <v>text</v>
          </cell>
          <cell r="C210" t="str">
            <v>mobile_clinics_non_functionality_reason_other</v>
          </cell>
          <cell r="D210" t="str">
            <v>Please specify</v>
          </cell>
        </row>
        <row r="211">
          <cell r="A211" t="str">
            <v>Which health services are available at this facility?</v>
          </cell>
          <cell r="B211" t="str">
            <v>select_multiple health_services_available</v>
          </cell>
          <cell r="C211" t="str">
            <v>mobile_clinics_services</v>
          </cell>
          <cell r="D211" t="str">
            <v>Which health services are available at this facility?</v>
          </cell>
        </row>
        <row r="212">
          <cell r="A212" t="str">
            <v>Please specify</v>
          </cell>
          <cell r="B212" t="str">
            <v>text</v>
          </cell>
          <cell r="C212" t="str">
            <v>mobile_clinics_services_other</v>
          </cell>
          <cell r="D212" t="str">
            <v>Please specify</v>
          </cell>
        </row>
        <row r="213">
          <cell r="A213" t="str">
            <v>Where is this health facility located?</v>
          </cell>
          <cell r="B213" t="str">
            <v>select_one health_facility_location</v>
          </cell>
          <cell r="C213" t="str">
            <v>mobile_clinics_location</v>
          </cell>
          <cell r="D213" t="str">
            <v>Where is this health facility located?</v>
          </cell>
        </row>
        <row r="214">
          <cell r="A214" t="str">
            <v>Please specify</v>
          </cell>
          <cell r="B214" t="str">
            <v>text</v>
          </cell>
          <cell r="C214" t="str">
            <v>mobile_clinics_location_other</v>
          </cell>
          <cell r="D214" t="str">
            <v>Please specify</v>
          </cell>
        </row>
        <row r="215">
          <cell r="A215" t="str">
            <v>If located out of kebele, why were you not able to access and get service in a health facility within the kebele?</v>
          </cell>
          <cell r="B215" t="str">
            <v>select_multiple not_able_to_access_reasons</v>
          </cell>
          <cell r="C215" t="str">
            <v>mobile_clinics_located_out_of_kebele</v>
          </cell>
          <cell r="D215" t="str">
            <v>If located out of kebele, why were you not able to access and get service in a health facility within the kebele?</v>
          </cell>
        </row>
        <row r="216">
          <cell r="A216" t="str">
            <v>Please specify</v>
          </cell>
          <cell r="B216" t="str">
            <v>text</v>
          </cell>
          <cell r="C216" t="str">
            <v>mobile_clinics_located_out_of_kebele_other</v>
          </cell>
          <cell r="D216" t="str">
            <v>Please specify</v>
          </cell>
        </row>
        <row r="217">
          <cell r="A217" t="str">
            <v>How long does it take for members of your household to travel to this health facility</v>
          </cell>
          <cell r="B217" t="str">
            <v>select_one travel_time</v>
          </cell>
          <cell r="C217" t="str">
            <v>travel_time_to_mobile_clinics</v>
          </cell>
          <cell r="D217" t="str">
            <v>How long does it take for members of your household to travel to this health facility</v>
          </cell>
        </row>
        <row r="218">
          <cell r="A218" t="str">
            <v>Who owns this health facility ?</v>
          </cell>
          <cell r="B218" t="str">
            <v>select_one facility_owner</v>
          </cell>
          <cell r="C218" t="str">
            <v>mobile_clinics_owner</v>
          </cell>
          <cell r="D218" t="str">
            <v>Who owns this health facility ?</v>
          </cell>
        </row>
        <row r="219">
          <cell r="A219" t="str">
            <v>Please specify</v>
          </cell>
          <cell r="B219" t="str">
            <v>text</v>
          </cell>
          <cell r="C219" t="str">
            <v>mobile_clinics_owner_other</v>
          </cell>
          <cell r="D219" t="str">
            <v>Please specify</v>
          </cell>
        </row>
        <row r="220">
          <cell r="A220">
            <v>0</v>
          </cell>
          <cell r="B220" t="str">
            <v>end_group</v>
          </cell>
        </row>
        <row r="221">
          <cell r="A221" t="str">
            <v>Household healthcare</v>
          </cell>
          <cell r="B221" t="str">
            <v>begin_group</v>
          </cell>
          <cell r="C221" t="str">
            <v>grp_health8</v>
          </cell>
          <cell r="D221" t="str">
            <v>Household healthcare</v>
          </cell>
        </row>
        <row r="222">
          <cell r="A222" t="str">
            <v>Are any services currently operating from this facility (household healthcare)?</v>
          </cell>
          <cell r="B222" t="str">
            <v>select_one operating_facility_services</v>
          </cell>
          <cell r="C222" t="str">
            <v>operating_hh_healthcare</v>
          </cell>
          <cell r="D222" t="str">
            <v>Are any services currently operating from this facility (household healthcare)?</v>
          </cell>
        </row>
        <row r="223">
          <cell r="A223" t="str">
            <v>If partial or not functionality, why?</v>
          </cell>
          <cell r="B223" t="str">
            <v>select_multiple services_non_functionality_reason</v>
          </cell>
          <cell r="C223" t="str">
            <v>hh_healthcare_non_functionality_reason</v>
          </cell>
          <cell r="D223" t="str">
            <v>If partial or not functionality, why?</v>
          </cell>
        </row>
        <row r="224">
          <cell r="A224" t="str">
            <v>Please specify</v>
          </cell>
          <cell r="B224" t="str">
            <v>text</v>
          </cell>
          <cell r="C224" t="str">
            <v>hh_healthcare_non_functionality_reason_other</v>
          </cell>
          <cell r="D224" t="str">
            <v>Please specify</v>
          </cell>
        </row>
        <row r="225">
          <cell r="A225" t="str">
            <v>Which health services are available at this facility?</v>
          </cell>
          <cell r="B225" t="str">
            <v>select_multiple health_services_available</v>
          </cell>
          <cell r="C225" t="str">
            <v>hh_healthcare_services</v>
          </cell>
          <cell r="D225" t="str">
            <v>Which health services are available at this facility?</v>
          </cell>
        </row>
        <row r="226">
          <cell r="A226" t="str">
            <v>Please specify</v>
          </cell>
          <cell r="B226" t="str">
            <v>text</v>
          </cell>
          <cell r="C226" t="str">
            <v>hh_healthcare_services_other</v>
          </cell>
          <cell r="D226" t="str">
            <v>Please specify</v>
          </cell>
        </row>
        <row r="227">
          <cell r="A227" t="str">
            <v>Where is this health facility located?</v>
          </cell>
          <cell r="B227" t="str">
            <v>select_one health_facility_location</v>
          </cell>
          <cell r="C227" t="str">
            <v>hh_healthcare_location</v>
          </cell>
          <cell r="D227" t="str">
            <v>Where is this health facility located?</v>
          </cell>
        </row>
        <row r="228">
          <cell r="A228" t="str">
            <v>Please specify</v>
          </cell>
          <cell r="B228" t="str">
            <v>text</v>
          </cell>
          <cell r="C228" t="str">
            <v>hh_healthcare_location_other</v>
          </cell>
          <cell r="D228" t="str">
            <v>Please specify</v>
          </cell>
        </row>
        <row r="229">
          <cell r="A229" t="str">
            <v>If located out of kebele, why were you not able to access and get service in a health facility within the kebele?</v>
          </cell>
          <cell r="B229" t="str">
            <v>select_multiple not_able_to_access_reasons</v>
          </cell>
          <cell r="C229" t="str">
            <v>hh_healthcare_located_out_of_kebele</v>
          </cell>
          <cell r="D229" t="str">
            <v>If located out of kebele, why were you not able to access and get service in a health facility within the kebele?</v>
          </cell>
        </row>
        <row r="230">
          <cell r="A230" t="str">
            <v>Please specify</v>
          </cell>
          <cell r="B230" t="str">
            <v>text</v>
          </cell>
          <cell r="C230" t="str">
            <v>hh_healthcare_located_out_of_kebele_other</v>
          </cell>
          <cell r="D230" t="str">
            <v>Please specify</v>
          </cell>
        </row>
        <row r="231">
          <cell r="A231" t="str">
            <v>How long does it take for members of your household to travel to this health facility</v>
          </cell>
          <cell r="B231" t="str">
            <v>select_one travel_time</v>
          </cell>
          <cell r="C231" t="str">
            <v>travel_time_to_hh_healthcare</v>
          </cell>
          <cell r="D231" t="str">
            <v>How long does it take for members of your household to travel to this health facility</v>
          </cell>
        </row>
        <row r="232">
          <cell r="A232" t="str">
            <v>Who owns this health facility ?</v>
          </cell>
          <cell r="B232" t="str">
            <v>select_one facility_owner</v>
          </cell>
          <cell r="C232" t="str">
            <v>hh_healthcare_owner</v>
          </cell>
          <cell r="D232" t="str">
            <v>Who owns this health facility ?</v>
          </cell>
        </row>
        <row r="233">
          <cell r="A233" t="str">
            <v>Please specify</v>
          </cell>
          <cell r="B233" t="str">
            <v>text</v>
          </cell>
          <cell r="C233" t="str">
            <v>hh_healthcare_owner_other</v>
          </cell>
          <cell r="D233" t="str">
            <v>Please specify</v>
          </cell>
        </row>
        <row r="234">
          <cell r="A234">
            <v>0</v>
          </cell>
          <cell r="B234" t="str">
            <v>end_group</v>
          </cell>
        </row>
        <row r="235">
          <cell r="A235" t="str">
            <v>Is there an ambulance service accessible to households during emergency in your kebele?</v>
          </cell>
          <cell r="B235" t="str">
            <v>select_one yes_no_dk_dwta</v>
          </cell>
          <cell r="C235" t="str">
            <v>ambulance_service_accessible</v>
          </cell>
          <cell r="D235" t="str">
            <v>Is there an ambulance service accessible to households during emergency in your kebele?</v>
          </cell>
        </row>
        <row r="236">
          <cell r="A236" t="str">
            <v>In the past 12 months, have you or anyone in your household had a health need for which they required assistance (regardless of whether assistance was recevied?)</v>
          </cell>
          <cell r="B236" t="str">
            <v>select_one yes_no_dk</v>
          </cell>
          <cell r="C236" t="str">
            <v>health_need_assistance</v>
          </cell>
          <cell r="D236" t="str">
            <v>In the past 12 months, have you or anyone in your household had a health need for which they required assistance (regardless of whether assistance was recevied?)</v>
          </cell>
        </row>
        <row r="237">
          <cell r="A237" t="str">
            <v>If yes, what kind of health service(s) was, or would have been, required?</v>
          </cell>
          <cell r="B237" t="str">
            <v>select_multiple health_services_available</v>
          </cell>
          <cell r="C237" t="str">
            <v>health_need_assistance_yes</v>
          </cell>
          <cell r="D237" t="str">
            <v>If yes, what kind of health service(s) was, or would have been, required?</v>
          </cell>
        </row>
        <row r="238">
          <cell r="A238" t="str">
            <v>Please specify</v>
          </cell>
          <cell r="B238" t="str">
            <v>text</v>
          </cell>
          <cell r="C238" t="str">
            <v>health_need_assistance_yes_other</v>
          </cell>
          <cell r="D238" t="str">
            <v>Please specify</v>
          </cell>
        </row>
        <row r="239">
          <cell r="A239" t="str">
            <v>Did you or your household member(s) access the care that was needed?</v>
          </cell>
          <cell r="B239" t="str">
            <v>select_one yes_pr_no</v>
          </cell>
          <cell r="C239" t="str">
            <v>hh_member_healthcare_needed</v>
          </cell>
          <cell r="D239" t="str">
            <v>Did you or your household member(s) access the care that was needed?</v>
          </cell>
        </row>
        <row r="240">
          <cell r="A240" t="str">
            <v>Which service(s) were you not able to, or did not, access?</v>
          </cell>
          <cell r="B240" t="str">
            <v>select_multiple health_services_available</v>
          </cell>
          <cell r="C240" t="str">
            <v>services_not_able_to_access</v>
          </cell>
          <cell r="D240" t="str">
            <v>Which service(s) were you not able to, or did not, access?</v>
          </cell>
        </row>
        <row r="241">
          <cell r="A241" t="str">
            <v>Please specify</v>
          </cell>
          <cell r="B241" t="str">
            <v>text</v>
          </cell>
          <cell r="C241" t="str">
            <v>services_not_able_to_access_other</v>
          </cell>
          <cell r="D241" t="str">
            <v>Please specify</v>
          </cell>
        </row>
        <row r="242">
          <cell r="A242" t="str">
            <v>Were you, or they, able to reach to the facility in order to request care?</v>
          </cell>
          <cell r="B242" t="str">
            <v>select_one no_yes</v>
          </cell>
          <cell r="C242" t="str">
            <v>services_able_to_access</v>
          </cell>
          <cell r="D242" t="str">
            <v>Were you, or they, able to reach to the facility in order to request care?</v>
          </cell>
        </row>
        <row r="243">
          <cell r="A243" t="str">
            <v>Which healthcare facility was attended?</v>
          </cell>
          <cell r="B243" t="str">
            <v>text</v>
          </cell>
          <cell r="C243" t="str">
            <v>health_facility_name</v>
          </cell>
          <cell r="D243" t="str">
            <v>Which healthcare facility was attended?</v>
          </cell>
        </row>
        <row r="244">
          <cell r="A244" t="str">
            <v>If you or they attended the facilty, why were the needs not met?</v>
          </cell>
          <cell r="B244" t="str">
            <v>select_multiple unmet_needs_reason</v>
          </cell>
          <cell r="C244" t="str">
            <v>unmet_needs_reason</v>
          </cell>
          <cell r="D244" t="str">
            <v>If you or they attended the facilty, why were the needs not met?</v>
          </cell>
        </row>
        <row r="245">
          <cell r="A245" t="str">
            <v>Please specify</v>
          </cell>
          <cell r="B245" t="str">
            <v>text</v>
          </cell>
          <cell r="C245" t="str">
            <v>unmet_needs_reason_gender</v>
          </cell>
          <cell r="D245" t="str">
            <v>Please specify</v>
          </cell>
        </row>
        <row r="246">
          <cell r="A246" t="str">
            <v>Please specify</v>
          </cell>
          <cell r="B246" t="str">
            <v>text</v>
          </cell>
          <cell r="C246" t="str">
            <v>unmet_needs_reason_disability</v>
          </cell>
          <cell r="D246" t="str">
            <v>Please specify</v>
          </cell>
        </row>
        <row r="247">
          <cell r="A247" t="str">
            <v>If you or they did not go or were not able to get there, why not?</v>
          </cell>
          <cell r="B247" t="str">
            <v>select_multiple unmet_needs_reason</v>
          </cell>
          <cell r="C247" t="str">
            <v>services_no_access_reason</v>
          </cell>
          <cell r="D247" t="str">
            <v>If you or they did not go or were not able to get there, why not?</v>
          </cell>
        </row>
        <row r="248">
          <cell r="A248" t="str">
            <v>Have you or any members of your household had to pay for healthcare in the last 12 months</v>
          </cell>
          <cell r="B248" t="str">
            <v>select_one yes_no_dk_dwta</v>
          </cell>
          <cell r="C248" t="str">
            <v>hh_healthcare_pay</v>
          </cell>
          <cell r="D248" t="str">
            <v>Have you or any members of your household had to pay for healthcare in the last 12 months</v>
          </cell>
        </row>
        <row r="249">
          <cell r="A249" t="str">
            <v>If so, for which service?</v>
          </cell>
          <cell r="B249" t="str">
            <v>select_multiple healthcare_services</v>
          </cell>
          <cell r="C249" t="str">
            <v>hh_healthcare_pay_yes</v>
          </cell>
          <cell r="D249" t="str">
            <v>If so, for which service?</v>
          </cell>
        </row>
        <row r="250">
          <cell r="A250" t="str">
            <v>Please specify</v>
          </cell>
          <cell r="B250" t="str">
            <v>text</v>
          </cell>
          <cell r="C250" t="str">
            <v>hh_healthcare_pay_yes_other</v>
          </cell>
          <cell r="D250" t="str">
            <v>Please specify</v>
          </cell>
        </row>
        <row r="251">
          <cell r="A251" t="str">
            <v>How did you and the members of your household pay for healthcare the last time you accessed healthcare services?</v>
          </cell>
          <cell r="B251" t="str">
            <v>select_one payment_modality</v>
          </cell>
          <cell r="C251" t="str">
            <v>hh_payment_modality</v>
          </cell>
          <cell r="D251" t="str">
            <v>How did you and the members of your household pay for healthcare the last time you accessed healthcare services?</v>
          </cell>
        </row>
        <row r="252">
          <cell r="A252" t="str">
            <v>Please specify</v>
          </cell>
          <cell r="B252" t="str">
            <v>text</v>
          </cell>
          <cell r="C252" t="str">
            <v>hh_payment_modality_other</v>
          </cell>
          <cell r="D252" t="str">
            <v>Please specify</v>
          </cell>
        </row>
        <row r="253">
          <cell r="A253" t="str">
            <v>If you have had to pay for healthcare, how much did it cost?</v>
          </cell>
          <cell r="B253" t="str">
            <v>integer</v>
          </cell>
          <cell r="C253" t="str">
            <v>healthcare_payment_amount</v>
          </cell>
          <cell r="D253" t="str">
            <v>If you have had to pay for healthcare, how much did it cost?</v>
          </cell>
        </row>
        <row r="254">
          <cell r="A254" t="str">
            <v>Is your household a beneficiary of community based health insurance (CBHI)?</v>
          </cell>
          <cell r="B254" t="str">
            <v>select_one yes_no_dk_dwta</v>
          </cell>
          <cell r="C254" t="str">
            <v>hh_beneficiary_cbhi</v>
          </cell>
          <cell r="D254" t="str">
            <v>Is your household a beneficiary of community based health insurance (CBHI)?</v>
          </cell>
        </row>
        <row r="255">
          <cell r="A255" t="str">
            <v>Are there other (other than CBHI) ways of obtaining free health services?</v>
          </cell>
          <cell r="B255" t="str">
            <v>select_one yes_no_dk_dwta</v>
          </cell>
          <cell r="C255" t="str">
            <v>hh_free_health_services</v>
          </cell>
          <cell r="D255" t="str">
            <v>Are there other (other than CBHI) ways of obtaining free health services?</v>
          </cell>
        </row>
        <row r="256">
          <cell r="A256" t="str">
            <v>If yes, what are the other mechanisms of obtaining free health services?</v>
          </cell>
          <cell r="B256" t="str">
            <v>select_multiple mechanisms_of_free_hs</v>
          </cell>
          <cell r="C256" t="str">
            <v>hh_free_health_services_yes</v>
          </cell>
          <cell r="D256" t="str">
            <v>If yes, what are the other mechanisms of obtaining free health services?</v>
          </cell>
        </row>
        <row r="257">
          <cell r="A257" t="str">
            <v>Please specify</v>
          </cell>
          <cell r="B257" t="str">
            <v>text</v>
          </cell>
          <cell r="C257" t="str">
            <v>hh_free_health_services_yes_other</v>
          </cell>
          <cell r="D257" t="str">
            <v>Please specify</v>
          </cell>
        </row>
        <row r="258">
          <cell r="A258" t="str">
            <v>If anything, what makes it difficult for people with disabilities to access healthcare services?</v>
          </cell>
          <cell r="B258" t="str">
            <v>select_multiple healthcare_access_difficultiy2</v>
          </cell>
          <cell r="C258" t="str">
            <v>disability_healthcare_access_difficultiy</v>
          </cell>
          <cell r="D258" t="str">
            <v>If anything, what makes it difficult for people with disabilities to access healthcare services?</v>
          </cell>
        </row>
        <row r="259">
          <cell r="A259" t="str">
            <v>Please specify</v>
          </cell>
          <cell r="B259" t="str">
            <v>text</v>
          </cell>
          <cell r="C259" t="str">
            <v>disability_healthcare_access_difficultiy_other</v>
          </cell>
          <cell r="D259" t="str">
            <v>Please specify</v>
          </cell>
        </row>
        <row r="260">
          <cell r="A260" t="str">
            <v>If anything, what makes it difficult for IDPs to access healthcare services?</v>
          </cell>
          <cell r="B260" t="str">
            <v>select_multiple healthcare_access_difficultiy3</v>
          </cell>
          <cell r="C260" t="str">
            <v>idp_healthcare_access_difficultiy</v>
          </cell>
          <cell r="D260" t="str">
            <v>If anything, what makes it difficult for IDPs to access healthcare services?</v>
          </cell>
        </row>
        <row r="261">
          <cell r="A261" t="str">
            <v>Please specify</v>
          </cell>
          <cell r="B261" t="str">
            <v>text</v>
          </cell>
          <cell r="C261" t="str">
            <v>idp_healthcare_access_difficultiy_other</v>
          </cell>
          <cell r="D261" t="str">
            <v>Please specify</v>
          </cell>
        </row>
        <row r="262">
          <cell r="A262" t="str">
            <v>Is there mental health care/treatment service available in your kebele?</v>
          </cell>
          <cell r="B262" t="str">
            <v>select_one yes_no_dk_dwta</v>
          </cell>
          <cell r="C262" t="str">
            <v>mental_healthcare_service</v>
          </cell>
          <cell r="D262" t="str">
            <v>Is there mental health care/treatment service available in your kebele?</v>
          </cell>
        </row>
        <row r="263">
          <cell r="A263" t="str">
            <v>How informed do you think you and the members of your household are about the availabilty healthcare in your locality?</v>
          </cell>
          <cell r="B263" t="str">
            <v>select_one information_availability</v>
          </cell>
          <cell r="C263" t="str">
            <v>hh_healthcare_information_level</v>
          </cell>
          <cell r="D263" t="str">
            <v>How informed do you think you and the members of your household are about the availabilty healthcare in your locality?</v>
          </cell>
        </row>
        <row r="264">
          <cell r="A264" t="str">
            <v>If no, or only somewhat, why?</v>
          </cell>
          <cell r="B264" t="str">
            <v>select_multiple received_information_not_accurte</v>
          </cell>
          <cell r="C264" t="str">
            <v>obtained_information_not_accurte</v>
          </cell>
          <cell r="D264" t="str">
            <v>If no, or only somewhat, why?</v>
          </cell>
        </row>
        <row r="265">
          <cell r="A265" t="str">
            <v>Please specify</v>
          </cell>
          <cell r="B265" t="str">
            <v>text</v>
          </cell>
          <cell r="C265" t="str">
            <v>obtained_information_not_accurte_other</v>
          </cell>
          <cell r="D265" t="str">
            <v>Please specify</v>
          </cell>
        </row>
        <row r="266">
          <cell r="A266" t="str">
            <v>How do you receive information about healthcare in your locality?</v>
          </cell>
          <cell r="B266" t="str">
            <v>select_multiple receive_information_services</v>
          </cell>
          <cell r="C266" t="str">
            <v>hh_means_to_receive_healthcare_information</v>
          </cell>
          <cell r="D266" t="str">
            <v>How do you receive information about healthcare in your locality?</v>
          </cell>
        </row>
        <row r="267">
          <cell r="A267" t="str">
            <v>Please specify who</v>
          </cell>
          <cell r="B267" t="str">
            <v>text</v>
          </cell>
          <cell r="C267" t="str">
            <v>hh_means_to_receive_healthcare_information_cl</v>
          </cell>
          <cell r="D267" t="str">
            <v>Please specify who</v>
          </cell>
        </row>
        <row r="268">
          <cell r="A268" t="str">
            <v>Please specify</v>
          </cell>
          <cell r="B268" t="str">
            <v>text</v>
          </cell>
          <cell r="C268" t="str">
            <v>hh_means_to_receive_healthcare_information_other</v>
          </cell>
          <cell r="D268" t="str">
            <v>Please specify</v>
          </cell>
        </row>
        <row r="269">
          <cell r="A269" t="str">
            <v>How would you like to receive information about healthcare in your locality in the future?</v>
          </cell>
          <cell r="B269" t="str">
            <v>select_multiple receive_information_services</v>
          </cell>
          <cell r="C269" t="str">
            <v>receive_healthcare_information</v>
          </cell>
          <cell r="D269" t="str">
            <v>How would you like to receive information about healthcare in your locality in the future?</v>
          </cell>
        </row>
        <row r="270">
          <cell r="A270" t="str">
            <v>Please specify who</v>
          </cell>
          <cell r="B270" t="str">
            <v>text</v>
          </cell>
          <cell r="C270" t="str">
            <v>receive_healthcare_information_cl</v>
          </cell>
          <cell r="D270" t="str">
            <v>Please specify who</v>
          </cell>
        </row>
        <row r="271">
          <cell r="A271" t="str">
            <v>Please specify</v>
          </cell>
          <cell r="B271" t="str">
            <v>text</v>
          </cell>
          <cell r="C271" t="str">
            <v>receive_healthcare_information_other</v>
          </cell>
          <cell r="D271" t="str">
            <v>Please specify</v>
          </cell>
        </row>
        <row r="272">
          <cell r="A272" t="str">
            <v>What would be the first most important improvement needed in healthcare services in the kebele?</v>
          </cell>
          <cell r="B272" t="str">
            <v>select_multiple health_improvement_needed</v>
          </cell>
          <cell r="C272" t="str">
            <v>healthcare_improvement_needed</v>
          </cell>
          <cell r="D272" t="str">
            <v>What would be the first most important improvement needed in healthcare services in the kebele?</v>
          </cell>
        </row>
        <row r="273">
          <cell r="A273" t="str">
            <v>Please specify</v>
          </cell>
          <cell r="B273" t="str">
            <v>text</v>
          </cell>
          <cell r="C273" t="str">
            <v>healthcare_improvement_needed_exp</v>
          </cell>
          <cell r="D273" t="str">
            <v>Please specify</v>
          </cell>
        </row>
        <row r="274">
          <cell r="A274" t="str">
            <v>Please specify conditions</v>
          </cell>
          <cell r="B274" t="str">
            <v>text</v>
          </cell>
          <cell r="C274" t="str">
            <v>healthcare_improvement_needed_sc</v>
          </cell>
          <cell r="D274" t="str">
            <v>Please specify conditions</v>
          </cell>
        </row>
        <row r="275">
          <cell r="A275" t="str">
            <v>What would be the second most important improvement needed in healthcare services in the kebele?</v>
          </cell>
          <cell r="B275" t="str">
            <v>select_multiple health_improvement_needed</v>
          </cell>
          <cell r="C275" t="str">
            <v>healthcare_improvement_needed2</v>
          </cell>
          <cell r="D275" t="str">
            <v>What would be the second most important improvement needed in healthcare services in the kebele?</v>
          </cell>
        </row>
        <row r="276">
          <cell r="A276" t="str">
            <v>Please specify</v>
          </cell>
          <cell r="B276" t="str">
            <v>text</v>
          </cell>
          <cell r="C276" t="str">
            <v>healthcare_improvement_needed_exp2</v>
          </cell>
          <cell r="D276" t="str">
            <v>Please specify</v>
          </cell>
        </row>
        <row r="277">
          <cell r="A277" t="str">
            <v>Please specify conditions</v>
          </cell>
          <cell r="B277" t="str">
            <v>text</v>
          </cell>
          <cell r="C277" t="str">
            <v>healthcare_improvement_needed_sc2</v>
          </cell>
          <cell r="D277" t="str">
            <v>Please specify conditions</v>
          </cell>
        </row>
        <row r="278">
          <cell r="A278" t="str">
            <v>What would be the third most important improvement needed in healthcare services in the kebele?</v>
          </cell>
          <cell r="B278" t="str">
            <v>select_multiple health_improvement_needed</v>
          </cell>
          <cell r="C278" t="str">
            <v>healthcare_improvement_needed3</v>
          </cell>
          <cell r="D278" t="str">
            <v>What would be the third most important improvement needed in healthcare services in the kebele?</v>
          </cell>
        </row>
        <row r="279">
          <cell r="A279" t="str">
            <v>Please specify</v>
          </cell>
          <cell r="B279" t="str">
            <v>text</v>
          </cell>
          <cell r="C279" t="str">
            <v>healthcare_improvement_needed_exp3</v>
          </cell>
          <cell r="D279" t="str">
            <v>Please specify</v>
          </cell>
        </row>
        <row r="280">
          <cell r="A280" t="str">
            <v>Please specify conditions</v>
          </cell>
          <cell r="B280" t="str">
            <v>text</v>
          </cell>
          <cell r="C280" t="str">
            <v>healthcare_improvement_needed_sc3</v>
          </cell>
          <cell r="D280" t="str">
            <v>Please specify conditions</v>
          </cell>
        </row>
        <row r="281">
          <cell r="A281" t="str">
            <v xml:space="preserve">We would like to know your experience regarding some specific health related topics.  </v>
          </cell>
          <cell r="B281" t="str">
            <v>note</v>
          </cell>
          <cell r="C281" t="str">
            <v>note_respondent</v>
          </cell>
          <cell r="D281" t="str">
            <v xml:space="preserve">We would like to know your experience regarding some specific health related topics.  </v>
          </cell>
        </row>
        <row r="282">
          <cell r="A282" t="str">
            <v>Has your household required nutrition services in the past three months?</v>
          </cell>
          <cell r="B282" t="str">
            <v>select_one yes_no_dk_dwta</v>
          </cell>
          <cell r="C282" t="str">
            <v>hh_required_nutrition_services</v>
          </cell>
          <cell r="D282" t="str">
            <v>Has your household required nutrition services in the past three months?</v>
          </cell>
        </row>
        <row r="283">
          <cell r="A283" t="str">
            <v>If yes, were you or the member(s) of your household able to obtain the required nutrition service from the nearest functional primary healthcare facility?</v>
          </cell>
          <cell r="B283" t="str">
            <v>select_one yes_no_dk_dwta</v>
          </cell>
          <cell r="C283" t="str">
            <v>hh_required_nutrition_services_yes</v>
          </cell>
          <cell r="D283" t="str">
            <v>If yes, were you or the member(s) of your household able to obtain the required nutrition service from the nearest functional primary healthcare facility?</v>
          </cell>
        </row>
        <row r="284">
          <cell r="A284" t="str">
            <v>If yes, which services were accessed?</v>
          </cell>
          <cell r="B284" t="str">
            <v>select_multiple nutrition_services_accessed</v>
          </cell>
          <cell r="C284" t="str">
            <v>nutrition_services_accessed</v>
          </cell>
          <cell r="D284" t="str">
            <v>If yes, which services were accessed?</v>
          </cell>
        </row>
        <row r="285">
          <cell r="A285" t="str">
            <v>Please specify</v>
          </cell>
          <cell r="B285" t="str">
            <v>text</v>
          </cell>
          <cell r="C285" t="str">
            <v>nutrition_services_accessed_other</v>
          </cell>
          <cell r="D285" t="str">
            <v>Please specify</v>
          </cell>
        </row>
        <row r="286">
          <cell r="A286">
            <v>0</v>
          </cell>
          <cell r="B286" t="str">
            <v>end_group</v>
          </cell>
        </row>
        <row r="287">
          <cell r="A287" t="str">
            <v>Education</v>
          </cell>
          <cell r="B287" t="str">
            <v>begin_group</v>
          </cell>
          <cell r="C287" t="str">
            <v>grp_education</v>
          </cell>
          <cell r="D287" t="str">
            <v>Education</v>
          </cell>
        </row>
        <row r="288">
          <cell r="A288" t="str">
            <v>Individual Education level information</v>
          </cell>
          <cell r="B288" t="str">
            <v>begin_repeat</v>
          </cell>
          <cell r="C288" t="str">
            <v>education_loop</v>
          </cell>
          <cell r="D288" t="str">
            <v>Individual Education level information</v>
          </cell>
        </row>
        <row r="289">
          <cell r="A289">
            <v>0</v>
          </cell>
          <cell r="B289" t="str">
            <v>calculate</v>
          </cell>
          <cell r="C289" t="str">
            <v>parent_instance_name</v>
          </cell>
        </row>
        <row r="290">
          <cell r="A290">
            <v>0</v>
          </cell>
          <cell r="B290" t="str">
            <v>calculate</v>
          </cell>
          <cell r="C290" t="str">
            <v>educ_instance_name</v>
          </cell>
        </row>
        <row r="291">
          <cell r="A291">
            <v>0</v>
          </cell>
          <cell r="B291" t="str">
            <v>calculate</v>
          </cell>
          <cell r="C291" t="str">
            <v>educ_person_id</v>
          </cell>
        </row>
        <row r="292">
          <cell r="A292">
            <v>0</v>
          </cell>
          <cell r="B292" t="str">
            <v>calculate</v>
          </cell>
          <cell r="C292" t="str">
            <v>educ_ind_pos</v>
          </cell>
        </row>
        <row r="293">
          <cell r="A293">
            <v>0</v>
          </cell>
          <cell r="B293" t="str">
            <v>calculate</v>
          </cell>
          <cell r="C293" t="str">
            <v>educ_ind_name</v>
          </cell>
        </row>
        <row r="294">
          <cell r="A294" t="str">
            <v>Name: ${educ_ind_name}</v>
          </cell>
          <cell r="B294" t="str">
            <v>begin_group</v>
          </cell>
          <cell r="C294" t="str">
            <v>grp_education2</v>
          </cell>
          <cell r="D294" t="str">
            <v>Name: ${educ_ind_name}</v>
          </cell>
        </row>
        <row r="295">
          <cell r="A295" t="str">
            <v>What level of education facility does (specific HH member) attend?</v>
          </cell>
          <cell r="B295" t="str">
            <v>select_one education_level</v>
          </cell>
          <cell r="C295" t="str">
            <v>hh_education_level_attend</v>
          </cell>
          <cell r="D295" t="str">
            <v>What level of education facility does (specific HH member) attend?</v>
          </cell>
        </row>
        <row r="296">
          <cell r="A296" t="str">
            <v>Please specify</v>
          </cell>
          <cell r="B296" t="str">
            <v>text</v>
          </cell>
          <cell r="C296" t="str">
            <v>hh_education_level_attend_other</v>
          </cell>
          <cell r="D296" t="str">
            <v>Please specify</v>
          </cell>
        </row>
        <row r="297">
          <cell r="A297" t="str">
            <v>Where is this education facility located?</v>
          </cell>
          <cell r="B297" t="str">
            <v>select_one education_facility_location</v>
          </cell>
          <cell r="C297" t="str">
            <v>education_facility_location</v>
          </cell>
          <cell r="D297" t="str">
            <v>Where is this education facility located?</v>
          </cell>
        </row>
        <row r="298">
          <cell r="A298" t="str">
            <v>Please specify record the name</v>
          </cell>
          <cell r="B298" t="str">
            <v>text</v>
          </cell>
          <cell r="C298" t="str">
            <v>education_facility_location_name</v>
          </cell>
          <cell r="D298" t="str">
            <v>Please specify record the name</v>
          </cell>
        </row>
        <row r="299">
          <cell r="A299" t="str">
            <v>Who owns or supports this education facility?</v>
          </cell>
          <cell r="B299" t="str">
            <v>select_one facility_owner</v>
          </cell>
          <cell r="C299" t="str">
            <v>education_facility_owner</v>
          </cell>
          <cell r="D299" t="str">
            <v>Who owns or supports this education facility?</v>
          </cell>
        </row>
        <row r="300">
          <cell r="A300" t="str">
            <v>Please specify</v>
          </cell>
          <cell r="B300" t="str">
            <v>text</v>
          </cell>
          <cell r="C300" t="str">
            <v>education_facility_owner_other</v>
          </cell>
          <cell r="D300" t="str">
            <v>Please specify</v>
          </cell>
        </row>
        <row r="301">
          <cell r="A301" t="str">
            <v>What is the functionality status of the education facility?</v>
          </cell>
          <cell r="B301" t="str">
            <v>select_one education_functionality_status</v>
          </cell>
          <cell r="C301" t="str">
            <v>education_functionality_status</v>
          </cell>
          <cell r="D301" t="str">
            <v>What is the functionality status of the education facility?</v>
          </cell>
        </row>
        <row r="302">
          <cell r="A302" t="str">
            <v>If no, or partially why?</v>
          </cell>
          <cell r="B302" t="str">
            <v>select_multiple school_damage_reason</v>
          </cell>
          <cell r="C302" t="str">
            <v>education_functionality_status_no</v>
          </cell>
          <cell r="D302" t="str">
            <v>If no, or partially why?</v>
          </cell>
        </row>
        <row r="303">
          <cell r="A303" t="str">
            <v>Please specify</v>
          </cell>
          <cell r="B303" t="str">
            <v>text</v>
          </cell>
          <cell r="C303" t="str">
            <v>education_functionality_status_no_other</v>
          </cell>
          <cell r="D303" t="str">
            <v>Please specify</v>
          </cell>
        </row>
        <row r="304">
          <cell r="A304">
            <v>0</v>
          </cell>
          <cell r="B304" t="str">
            <v>end_group</v>
          </cell>
        </row>
        <row r="305">
          <cell r="A305">
            <v>0</v>
          </cell>
          <cell r="B305" t="str">
            <v>end_repeat</v>
          </cell>
        </row>
        <row r="306">
          <cell r="A306" t="str">
            <v>What are the top three barriers, if any, that children that are attending school face in the school?</v>
          </cell>
          <cell r="B306" t="str">
            <v>select_multiple school_barriers</v>
          </cell>
          <cell r="C306" t="str">
            <v>school_barriers</v>
          </cell>
          <cell r="D306" t="str">
            <v>What are the top three barriers, if any, that children that are attending school face in the school?</v>
          </cell>
        </row>
        <row r="307">
          <cell r="A307" t="str">
            <v>Please specify</v>
          </cell>
          <cell r="B307" t="str">
            <v>text</v>
          </cell>
          <cell r="C307" t="str">
            <v>school_barriers_other</v>
          </cell>
          <cell r="D307" t="str">
            <v>Please specify</v>
          </cell>
        </row>
        <row r="308">
          <cell r="A308" t="str">
            <v>Individual Education dropout information</v>
          </cell>
          <cell r="B308" t="str">
            <v>begin_repeat</v>
          </cell>
          <cell r="C308" t="str">
            <v>education_loop2</v>
          </cell>
          <cell r="D308" t="str">
            <v>Individual Education dropout information</v>
          </cell>
        </row>
        <row r="309">
          <cell r="A309">
            <v>0</v>
          </cell>
          <cell r="B309" t="str">
            <v>calculate</v>
          </cell>
          <cell r="C309" t="str">
            <v>parent_instance_name</v>
          </cell>
        </row>
        <row r="310">
          <cell r="A310">
            <v>0</v>
          </cell>
          <cell r="B310" t="str">
            <v>calculate</v>
          </cell>
          <cell r="C310" t="str">
            <v>educ_instance_name2</v>
          </cell>
        </row>
        <row r="311">
          <cell r="A311">
            <v>0</v>
          </cell>
          <cell r="B311" t="str">
            <v>calculate</v>
          </cell>
          <cell r="C311" t="str">
            <v>educ_person_id2</v>
          </cell>
        </row>
        <row r="312">
          <cell r="A312">
            <v>0</v>
          </cell>
          <cell r="B312" t="str">
            <v>calculate</v>
          </cell>
          <cell r="C312" t="str">
            <v>educ_ind_pos2</v>
          </cell>
        </row>
        <row r="313">
          <cell r="A313">
            <v>0</v>
          </cell>
          <cell r="B313" t="str">
            <v>calculate</v>
          </cell>
          <cell r="C313" t="str">
            <v>educ_ind_name2</v>
          </cell>
        </row>
        <row r="314">
          <cell r="A314">
            <v>0</v>
          </cell>
          <cell r="B314" t="str">
            <v>begin_group</v>
          </cell>
          <cell r="C314" t="str">
            <v>grp_education3</v>
          </cell>
        </row>
        <row r="315">
          <cell r="A315" t="str">
            <v>What is the reason(s) for (specific HH member) not attending?</v>
          </cell>
          <cell r="B315" t="str">
            <v>select_multiple not_attending_reasons</v>
          </cell>
          <cell r="C315" t="str">
            <v>not_attending_reasons</v>
          </cell>
          <cell r="D315" t="str">
            <v>What is the reason(s) for (specific HH member) not attending?</v>
          </cell>
        </row>
        <row r="316">
          <cell r="A316" t="str">
            <v>Please specify</v>
          </cell>
          <cell r="B316" t="str">
            <v>text</v>
          </cell>
          <cell r="C316" t="str">
            <v>not_attending_reasons_other</v>
          </cell>
          <cell r="D316" t="str">
            <v>Please specify</v>
          </cell>
        </row>
        <row r="317">
          <cell r="A317" t="str">
            <v>What is the reason (specific HH member) dropped out?</v>
          </cell>
          <cell r="B317" t="str">
            <v>select_multiple not_attending_reasons</v>
          </cell>
          <cell r="C317" t="str">
            <v>dropout_reason</v>
          </cell>
          <cell r="D317" t="str">
            <v>What is the reason (specific HH member) dropped out?</v>
          </cell>
        </row>
        <row r="318">
          <cell r="A318" t="str">
            <v>Please specify</v>
          </cell>
          <cell r="B318" t="str">
            <v>text</v>
          </cell>
          <cell r="C318" t="str">
            <v>dropout_reason_other</v>
          </cell>
          <cell r="D318" t="str">
            <v>Please specify</v>
          </cell>
        </row>
        <row r="319">
          <cell r="A319">
            <v>0</v>
          </cell>
          <cell r="B319" t="str">
            <v>end_group</v>
          </cell>
        </row>
        <row r="320">
          <cell r="A320">
            <v>0</v>
          </cell>
          <cell r="B320" t="str">
            <v>end_repeat</v>
          </cell>
        </row>
        <row r="321">
          <cell r="A321" t="str">
            <v>What would be the  first most important improvement in education services?</v>
          </cell>
          <cell r="B321" t="str">
            <v>select_multiple services_improvement</v>
          </cell>
          <cell r="C321" t="str">
            <v>educ_services_improvement</v>
          </cell>
          <cell r="D321" t="str">
            <v>What would be the  first most important improvement in education services?</v>
          </cell>
        </row>
        <row r="322">
          <cell r="A322" t="str">
            <v>Please specify</v>
          </cell>
          <cell r="B322" t="str">
            <v>text</v>
          </cell>
          <cell r="C322" t="str">
            <v>educ_services_improvement_other</v>
          </cell>
          <cell r="D322" t="str">
            <v>Please specify</v>
          </cell>
        </row>
        <row r="323">
          <cell r="A323" t="str">
            <v>What would be the  second most important improvement in education services?</v>
          </cell>
          <cell r="B323" t="str">
            <v>select_multiple services_improvement</v>
          </cell>
          <cell r="C323" t="str">
            <v>educ_services_improvement2</v>
          </cell>
          <cell r="D323" t="str">
            <v>What would be the  second most important improvement in education services?</v>
          </cell>
        </row>
        <row r="324">
          <cell r="A324" t="str">
            <v>Please specify</v>
          </cell>
          <cell r="B324" t="str">
            <v>text</v>
          </cell>
          <cell r="C324" t="str">
            <v>educ_services_improvement2_other</v>
          </cell>
          <cell r="D324" t="str">
            <v>Please specify</v>
          </cell>
        </row>
        <row r="325">
          <cell r="A325" t="str">
            <v>What would be the third most important improvement in education services?</v>
          </cell>
          <cell r="B325" t="str">
            <v>select_multiple services_improvement</v>
          </cell>
          <cell r="C325" t="str">
            <v>educ_services_improvement3</v>
          </cell>
          <cell r="D325" t="str">
            <v>What would be the third most important improvement in education services?</v>
          </cell>
        </row>
        <row r="326">
          <cell r="A326" t="str">
            <v>Please specify</v>
          </cell>
          <cell r="B326" t="str">
            <v>text</v>
          </cell>
          <cell r="C326" t="str">
            <v>educ_services_improvement3_other</v>
          </cell>
          <cell r="D326" t="str">
            <v>Please specify</v>
          </cell>
        </row>
        <row r="327">
          <cell r="A327" t="str">
            <v>How informed do you think you and the members of your household are about the availabilty eduction in your locality?</v>
          </cell>
          <cell r="B327" t="str">
            <v>select_one information_availability</v>
          </cell>
          <cell r="C327" t="str">
            <v>information_about_education_availability</v>
          </cell>
          <cell r="D327" t="str">
            <v>How informed do you think you and the members of your household are about the availabilty eduction in your locality?</v>
          </cell>
        </row>
        <row r="328">
          <cell r="A328" t="str">
            <v>If no, or only somewhat, why?</v>
          </cell>
          <cell r="B328" t="str">
            <v>select_multiple received_information_not_accurte</v>
          </cell>
          <cell r="C328" t="str">
            <v>received_information_no_accurte2</v>
          </cell>
          <cell r="D328" t="str">
            <v>If no, or only somewhat, why?</v>
          </cell>
        </row>
        <row r="329">
          <cell r="A329" t="str">
            <v>Please specify</v>
          </cell>
          <cell r="B329" t="str">
            <v>text</v>
          </cell>
          <cell r="C329" t="str">
            <v>received_information_no_accurte2_other</v>
          </cell>
          <cell r="D329" t="str">
            <v>Please specify</v>
          </cell>
        </row>
        <row r="330">
          <cell r="A330" t="str">
            <v>How do you receive information about eduction in your locality?</v>
          </cell>
          <cell r="B330" t="str">
            <v>select_one information_reveived_way</v>
          </cell>
          <cell r="C330" t="str">
            <v>educ_information_reveived_way</v>
          </cell>
          <cell r="D330" t="str">
            <v>How do you receive information about eduction in your locality?</v>
          </cell>
        </row>
        <row r="331">
          <cell r="A331" t="str">
            <v>Please specify who</v>
          </cell>
          <cell r="B331" t="str">
            <v>text</v>
          </cell>
          <cell r="C331" t="str">
            <v>educ_information_reveived_way_cl</v>
          </cell>
          <cell r="D331" t="str">
            <v>Please specify who</v>
          </cell>
        </row>
        <row r="332">
          <cell r="A332" t="str">
            <v>Please specify</v>
          </cell>
          <cell r="B332" t="str">
            <v>text</v>
          </cell>
          <cell r="C332" t="str">
            <v>educ_information_reveived_way_other</v>
          </cell>
          <cell r="D332" t="str">
            <v>Please specify</v>
          </cell>
        </row>
        <row r="333">
          <cell r="A333" t="str">
            <v>How would you like to receive information about eduction in your locality in the future?</v>
          </cell>
          <cell r="B333" t="str">
            <v>select_one information_reveived_way</v>
          </cell>
          <cell r="C333" t="str">
            <v>educ_information_reveived_future</v>
          </cell>
          <cell r="D333" t="str">
            <v>How would you like to receive information about eduction in your locality in the future?</v>
          </cell>
        </row>
        <row r="334">
          <cell r="A334" t="str">
            <v>Please specify who</v>
          </cell>
          <cell r="B334" t="str">
            <v>text</v>
          </cell>
          <cell r="C334" t="str">
            <v>educ_information_reveived_future_cl</v>
          </cell>
          <cell r="D334" t="str">
            <v>Please specify who</v>
          </cell>
        </row>
        <row r="335">
          <cell r="A335" t="str">
            <v>Please specify</v>
          </cell>
          <cell r="B335" t="str">
            <v>text</v>
          </cell>
          <cell r="C335" t="str">
            <v>educ_information_reveived_future_other</v>
          </cell>
          <cell r="D335" t="str">
            <v>Please specify</v>
          </cell>
        </row>
        <row r="336">
          <cell r="A336">
            <v>0</v>
          </cell>
          <cell r="B336" t="str">
            <v>end_group</v>
          </cell>
        </row>
        <row r="337">
          <cell r="A337" t="str">
            <v>HH DRR</v>
          </cell>
          <cell r="B337" t="str">
            <v>begin_group</v>
          </cell>
          <cell r="C337" t="str">
            <v>grp_hh_drr</v>
          </cell>
          <cell r="D337" t="str">
            <v>HH DRR</v>
          </cell>
        </row>
        <row r="338">
          <cell r="A338" t="str">
            <v>In the last 3 years, has your HH been exposed to any of the listed hazards?</v>
          </cell>
          <cell r="B338" t="str">
            <v>select_multiple hazards</v>
          </cell>
          <cell r="C338" t="str">
            <v>hh_exposed_to_hazards</v>
          </cell>
          <cell r="D338" t="str">
            <v>In the last 3 years, has your HH been exposed to any of the listed hazards?</v>
          </cell>
        </row>
        <row r="339">
          <cell r="A339" t="str">
            <v>Please specify</v>
          </cell>
          <cell r="B339" t="str">
            <v>text</v>
          </cell>
          <cell r="C339" t="str">
            <v>hh_exposed_to_hazards_other</v>
          </cell>
          <cell r="D339" t="str">
            <v>Please specify</v>
          </cell>
        </row>
        <row r="340">
          <cell r="A340" t="str">
            <v>Flood</v>
          </cell>
          <cell r="B340" t="str">
            <v>begin_group</v>
          </cell>
          <cell r="C340" t="str">
            <v>grp_hh_drr2</v>
          </cell>
          <cell r="D340" t="str">
            <v>Flood</v>
          </cell>
        </row>
        <row r="341">
          <cell r="A341" t="str">
            <v>If yes, has exposure to this hazard (flood) increased your need to access health, education or water and sanitation services?</v>
          </cell>
          <cell r="B341" t="str">
            <v>select_one yes_no_dk_dwta</v>
          </cell>
          <cell r="C341" t="str">
            <v>exposed_to_flood_yes</v>
          </cell>
          <cell r="D341" t="str">
            <v>If yes, has exposure to this hazard (flood) increased your need to access health, education or water and sanitation services?</v>
          </cell>
        </row>
        <row r="342">
          <cell r="A342" t="str">
            <v>If yes, which ones?</v>
          </cell>
          <cell r="B342" t="str">
            <v>select_multiple sector</v>
          </cell>
          <cell r="C342" t="str">
            <v>flood_exposed_sector</v>
          </cell>
          <cell r="D342" t="str">
            <v>If yes, which ones?</v>
          </cell>
        </row>
        <row r="343">
          <cell r="A343" t="str">
            <v>If yes, how have these hazards impacted your access to services?</v>
          </cell>
          <cell r="B343" t="str">
            <v>select_multiple hazards_impact</v>
          </cell>
          <cell r="C343" t="str">
            <v>flood_impacted_access_to_services</v>
          </cell>
          <cell r="D343" t="str">
            <v>If yes, how have these hazards impacted your access to services?</v>
          </cell>
        </row>
        <row r="344">
          <cell r="A344" t="str">
            <v>If so, what?</v>
          </cell>
          <cell r="B344" t="str">
            <v>text</v>
          </cell>
          <cell r="C344" t="str">
            <v>flood_impacted_access_to_services2</v>
          </cell>
          <cell r="D344" t="str">
            <v>If so, what?</v>
          </cell>
        </row>
        <row r="345">
          <cell r="A345" t="str">
            <v>Please specify</v>
          </cell>
          <cell r="B345" t="str">
            <v>text</v>
          </cell>
          <cell r="C345" t="str">
            <v>flood_impacted_access_to_services_other</v>
          </cell>
          <cell r="D345" t="str">
            <v>Please specify</v>
          </cell>
        </row>
        <row r="346">
          <cell r="A346">
            <v>0</v>
          </cell>
          <cell r="B346" t="str">
            <v>end_group</v>
          </cell>
        </row>
        <row r="347">
          <cell r="A347" t="str">
            <v>Drought</v>
          </cell>
          <cell r="B347" t="str">
            <v>begin_group</v>
          </cell>
          <cell r="C347" t="str">
            <v>grp_hh_drr3</v>
          </cell>
          <cell r="D347" t="str">
            <v>Drought</v>
          </cell>
        </row>
        <row r="348">
          <cell r="A348" t="str">
            <v>If yes, has exposure to this hazard (drought) increased your need to access health, education or water and sanitation services?</v>
          </cell>
          <cell r="B348" t="str">
            <v>select_one yes_no_dk_dwta</v>
          </cell>
          <cell r="C348" t="str">
            <v>exposed_to_drought_yes</v>
          </cell>
          <cell r="D348" t="str">
            <v>If yes, has exposure to this hazard (drought) increased your need to access health, education or water and sanitation services?</v>
          </cell>
        </row>
        <row r="349">
          <cell r="A349" t="str">
            <v>If yes, which ones?</v>
          </cell>
          <cell r="B349" t="str">
            <v>select_multiple sector</v>
          </cell>
          <cell r="C349" t="str">
            <v>drought_exposed_sector</v>
          </cell>
          <cell r="D349" t="str">
            <v>If yes, which ones?</v>
          </cell>
        </row>
        <row r="350">
          <cell r="A350" t="str">
            <v>If yes, how have these hazards impacted your access to services?</v>
          </cell>
          <cell r="B350" t="str">
            <v>select_multiple hazards_impact</v>
          </cell>
          <cell r="C350" t="str">
            <v>drought_impacted_access_to_services</v>
          </cell>
          <cell r="D350" t="str">
            <v>If yes, how have these hazards impacted your access to services?</v>
          </cell>
        </row>
        <row r="351">
          <cell r="A351" t="str">
            <v>If so, what?</v>
          </cell>
          <cell r="B351" t="str">
            <v>text</v>
          </cell>
          <cell r="C351" t="str">
            <v>drought_impacted_access_to_services2</v>
          </cell>
          <cell r="D351" t="str">
            <v>If so, what?</v>
          </cell>
        </row>
        <row r="352">
          <cell r="A352" t="str">
            <v>Please specify</v>
          </cell>
          <cell r="B352" t="str">
            <v>text</v>
          </cell>
          <cell r="C352" t="str">
            <v>drought_impacted_access_to_services_other</v>
          </cell>
          <cell r="D352" t="str">
            <v>Please specify</v>
          </cell>
        </row>
        <row r="353">
          <cell r="A353">
            <v>0</v>
          </cell>
          <cell r="B353" t="str">
            <v>end_group</v>
          </cell>
        </row>
        <row r="354">
          <cell r="A354" t="str">
            <v>Landslide</v>
          </cell>
          <cell r="B354" t="str">
            <v>begin_group</v>
          </cell>
          <cell r="C354" t="str">
            <v>grp_hh_drr4</v>
          </cell>
          <cell r="D354" t="str">
            <v>Landslide</v>
          </cell>
        </row>
        <row r="355">
          <cell r="A355" t="str">
            <v>If yes, has exposure to this hazard (landslide) increased your need to access health, education or water and sanitation services?</v>
          </cell>
          <cell r="B355" t="str">
            <v>select_one yes_no_dk_dwta</v>
          </cell>
          <cell r="C355" t="str">
            <v>exposed_to_landslide_yes</v>
          </cell>
          <cell r="D355" t="str">
            <v>If yes, has exposure to this hazard (landslide) increased your need to access health, education or water and sanitation services?</v>
          </cell>
        </row>
        <row r="356">
          <cell r="A356" t="str">
            <v>If yes, which ones?</v>
          </cell>
          <cell r="B356" t="str">
            <v>select_multiple sector</v>
          </cell>
          <cell r="C356" t="str">
            <v>landslide_exposed_sector</v>
          </cell>
          <cell r="D356" t="str">
            <v>If yes, which ones?</v>
          </cell>
        </row>
        <row r="357">
          <cell r="A357" t="str">
            <v>If yes, how have these hazards impacted your access to services?</v>
          </cell>
          <cell r="B357" t="str">
            <v>select_multiple hazards_impact</v>
          </cell>
          <cell r="C357" t="str">
            <v>landslide_impacted_access_to_services</v>
          </cell>
          <cell r="D357" t="str">
            <v>If yes, how have these hazards impacted your access to services?</v>
          </cell>
        </row>
        <row r="358">
          <cell r="A358" t="str">
            <v>If so, what?</v>
          </cell>
          <cell r="B358" t="str">
            <v>text</v>
          </cell>
          <cell r="C358" t="str">
            <v>landslide_impacted_access_to_services2</v>
          </cell>
          <cell r="D358" t="str">
            <v>If so, what?</v>
          </cell>
        </row>
        <row r="359">
          <cell r="A359" t="str">
            <v>Please specify</v>
          </cell>
          <cell r="B359" t="str">
            <v>text</v>
          </cell>
          <cell r="C359" t="str">
            <v>landslide_impacted_access_to_services_other</v>
          </cell>
          <cell r="D359" t="str">
            <v>Please specify</v>
          </cell>
        </row>
        <row r="360">
          <cell r="A360">
            <v>0</v>
          </cell>
          <cell r="B360" t="str">
            <v>end_group</v>
          </cell>
        </row>
        <row r="361">
          <cell r="A361" t="str">
            <v>Heat wave</v>
          </cell>
          <cell r="B361" t="str">
            <v>begin_group</v>
          </cell>
          <cell r="C361" t="str">
            <v>grp_hh_drr5</v>
          </cell>
          <cell r="D361" t="str">
            <v>Heat wave</v>
          </cell>
        </row>
        <row r="362">
          <cell r="A362" t="str">
            <v>If yes, has exposure to this hazard (heat wave) increased your need to access health, education or water and sanitation services?</v>
          </cell>
          <cell r="B362" t="str">
            <v>select_one yes_no_dk_dwta</v>
          </cell>
          <cell r="C362" t="str">
            <v>exposed_to_heatwave_yes</v>
          </cell>
          <cell r="D362" t="str">
            <v>If yes, has exposure to this hazard (heat wave) increased your need to access health, education or water and sanitation services?</v>
          </cell>
        </row>
        <row r="363">
          <cell r="A363" t="str">
            <v>If yes, which ones?</v>
          </cell>
          <cell r="B363" t="str">
            <v>select_multiple sector</v>
          </cell>
          <cell r="C363" t="str">
            <v>heatwave_exposed_sector</v>
          </cell>
          <cell r="D363" t="str">
            <v>If yes, which ones?</v>
          </cell>
        </row>
        <row r="364">
          <cell r="A364" t="str">
            <v>If yes, how have these hazards impacted your access to services?</v>
          </cell>
          <cell r="B364" t="str">
            <v>select_multiple hazards_impact</v>
          </cell>
          <cell r="C364" t="str">
            <v>heatwave_impacted_access_to_services</v>
          </cell>
          <cell r="D364" t="str">
            <v>If yes, how have these hazards impacted your access to services?</v>
          </cell>
        </row>
        <row r="365">
          <cell r="A365" t="str">
            <v>If so, what?</v>
          </cell>
          <cell r="B365" t="str">
            <v>text</v>
          </cell>
          <cell r="C365" t="str">
            <v>heatwave_impacted_access_to_services2</v>
          </cell>
          <cell r="D365" t="str">
            <v>If so, what?</v>
          </cell>
        </row>
        <row r="366">
          <cell r="A366" t="str">
            <v>Please specify</v>
          </cell>
          <cell r="B366" t="str">
            <v>text</v>
          </cell>
          <cell r="C366" t="str">
            <v>heatwave_impacted_access_to_services_other</v>
          </cell>
          <cell r="D366" t="str">
            <v>Please specify</v>
          </cell>
        </row>
        <row r="367">
          <cell r="A367">
            <v>0</v>
          </cell>
          <cell r="B367" t="str">
            <v>end_group</v>
          </cell>
        </row>
        <row r="368">
          <cell r="A368" t="str">
            <v>Exposure to deforestation</v>
          </cell>
          <cell r="B368" t="str">
            <v>begin_group</v>
          </cell>
          <cell r="C368" t="str">
            <v>grp_hh_drr6</v>
          </cell>
          <cell r="D368" t="str">
            <v>Exposure to deforestation</v>
          </cell>
        </row>
        <row r="369">
          <cell r="A369" t="str">
            <v>If yes, has exposure to this hazard (exposure to deforestation) increased your need to access health, education or water and sanitation services?</v>
          </cell>
          <cell r="B369" t="str">
            <v>select_one yes_no_dk_dwta</v>
          </cell>
          <cell r="C369" t="str">
            <v>exposed_to_deforestation_yes</v>
          </cell>
          <cell r="D369" t="str">
            <v>If yes, has exposure to this hazard (exposure to deforestation) increased your need to access health, education or water and sanitation services?</v>
          </cell>
        </row>
        <row r="370">
          <cell r="A370" t="str">
            <v>If yes, which ones?</v>
          </cell>
          <cell r="B370" t="str">
            <v>select_multiple sector</v>
          </cell>
          <cell r="C370" t="str">
            <v>deforestation_exposed_sector</v>
          </cell>
          <cell r="D370" t="str">
            <v>If yes, which ones?</v>
          </cell>
        </row>
        <row r="371">
          <cell r="A371" t="str">
            <v>If yes, how have these hazards impacted your access to services?</v>
          </cell>
          <cell r="B371" t="str">
            <v>select_multiple hazards_impact</v>
          </cell>
          <cell r="C371" t="str">
            <v>deforestation_impacted_access_to_services</v>
          </cell>
          <cell r="D371" t="str">
            <v>If yes, how have these hazards impacted your access to services?</v>
          </cell>
        </row>
        <row r="372">
          <cell r="A372" t="str">
            <v>If so, what?</v>
          </cell>
          <cell r="B372" t="str">
            <v>text</v>
          </cell>
          <cell r="C372" t="str">
            <v>deforestation_impacted_access_to_services2</v>
          </cell>
          <cell r="D372" t="str">
            <v>If so, what?</v>
          </cell>
        </row>
        <row r="373">
          <cell r="A373" t="str">
            <v>Please specify</v>
          </cell>
          <cell r="B373" t="str">
            <v>text</v>
          </cell>
          <cell r="C373" t="str">
            <v>deforestation_impacted_access_to_services_other</v>
          </cell>
          <cell r="D373" t="str">
            <v>Please specify</v>
          </cell>
        </row>
        <row r="374">
          <cell r="A374">
            <v>0</v>
          </cell>
          <cell r="B374" t="str">
            <v>end_group</v>
          </cell>
        </row>
        <row r="375">
          <cell r="A375" t="str">
            <v>Water scarcity</v>
          </cell>
          <cell r="B375" t="str">
            <v>begin_group</v>
          </cell>
          <cell r="C375" t="str">
            <v>grp_hh_drr7</v>
          </cell>
          <cell r="D375" t="str">
            <v>Water scarcity</v>
          </cell>
        </row>
        <row r="376">
          <cell r="A376" t="str">
            <v>If yes, has exposure to this hazard (water scarcity) increased your need to access health, education  or water and sanitation services?</v>
          </cell>
          <cell r="B376" t="str">
            <v>select_one yes_no_dk_dwta</v>
          </cell>
          <cell r="C376" t="str">
            <v>exposed_to_water_scarcity_yes</v>
          </cell>
          <cell r="D376" t="str">
            <v>If yes, has exposure to this hazard (water scarcity) increased your need to access health, education  or water and sanitation services?</v>
          </cell>
        </row>
        <row r="377">
          <cell r="A377" t="str">
            <v>If yes, which ones?</v>
          </cell>
          <cell r="B377" t="str">
            <v>select_multiple sector</v>
          </cell>
          <cell r="C377" t="str">
            <v>water_scarcity_exposed_sector</v>
          </cell>
          <cell r="D377" t="str">
            <v>If yes, which ones?</v>
          </cell>
        </row>
        <row r="378">
          <cell r="A378" t="str">
            <v>If yes, how have these hazards impacted your access to services?</v>
          </cell>
          <cell r="B378" t="str">
            <v>select_multiple hazards_impact</v>
          </cell>
          <cell r="C378" t="str">
            <v>water_scarcity_impacted_access_to_services</v>
          </cell>
          <cell r="D378" t="str">
            <v>If yes, how have these hazards impacted your access to services?</v>
          </cell>
        </row>
        <row r="379">
          <cell r="A379" t="str">
            <v>If so, what?</v>
          </cell>
          <cell r="B379" t="str">
            <v>text</v>
          </cell>
          <cell r="C379" t="str">
            <v>water_scarcity_impacted_access_to_services2</v>
          </cell>
          <cell r="D379" t="str">
            <v>If so, what?</v>
          </cell>
        </row>
        <row r="380">
          <cell r="A380" t="str">
            <v>Please specify</v>
          </cell>
          <cell r="B380" t="str">
            <v>text</v>
          </cell>
          <cell r="C380" t="str">
            <v>water_scarcity_impacted_access_to_services_other</v>
          </cell>
          <cell r="D380" t="str">
            <v>Please specify</v>
          </cell>
        </row>
        <row r="381">
          <cell r="A381">
            <v>0</v>
          </cell>
          <cell r="B381" t="str">
            <v>end_group</v>
          </cell>
        </row>
        <row r="382">
          <cell r="A382" t="str">
            <v>Earthquacke</v>
          </cell>
          <cell r="B382" t="str">
            <v>begin_group</v>
          </cell>
          <cell r="C382" t="str">
            <v>grp_hh_drr8</v>
          </cell>
          <cell r="D382" t="str">
            <v>Earthquacke</v>
          </cell>
        </row>
        <row r="383">
          <cell r="A383" t="str">
            <v>If yes, has exposure to this hazard (earthquacke) increased your need to access health, education or water and sanitation services?</v>
          </cell>
          <cell r="B383" t="str">
            <v>select_one yes_no_dk_dwta</v>
          </cell>
          <cell r="C383" t="str">
            <v>exposed_to_earthquacke_yes</v>
          </cell>
          <cell r="D383" t="str">
            <v>If yes, has exposure to this hazard (earthquacke) increased your need to access health, education or water and sanitation services?</v>
          </cell>
        </row>
        <row r="384">
          <cell r="A384" t="str">
            <v>If yes, which ones?</v>
          </cell>
          <cell r="B384" t="str">
            <v>select_multiple sector</v>
          </cell>
          <cell r="C384" t="str">
            <v>earthquacke_exposed_sector</v>
          </cell>
          <cell r="D384" t="str">
            <v>If yes, which ones?</v>
          </cell>
        </row>
        <row r="385">
          <cell r="A385" t="str">
            <v>If yes, how have these hazards impacted your access to services?</v>
          </cell>
          <cell r="B385" t="str">
            <v>select_multiple hazards_impact</v>
          </cell>
          <cell r="C385" t="str">
            <v>earthquacke_impacted_access_to_services</v>
          </cell>
          <cell r="D385" t="str">
            <v>If yes, how have these hazards impacted your access to services?</v>
          </cell>
        </row>
        <row r="386">
          <cell r="A386" t="str">
            <v>If so, what?</v>
          </cell>
          <cell r="B386" t="str">
            <v>text</v>
          </cell>
          <cell r="C386" t="str">
            <v>earthquacke_impacted_access_to_services2</v>
          </cell>
          <cell r="D386" t="str">
            <v>If so, what?</v>
          </cell>
        </row>
        <row r="387">
          <cell r="A387" t="str">
            <v>Please specify</v>
          </cell>
          <cell r="B387" t="str">
            <v>text</v>
          </cell>
          <cell r="C387" t="str">
            <v>earthquacke_impacted_access_to_services_other</v>
          </cell>
          <cell r="D387" t="str">
            <v>Please specify</v>
          </cell>
        </row>
        <row r="388">
          <cell r="A388">
            <v>0</v>
          </cell>
          <cell r="B388" t="str">
            <v>end_group</v>
          </cell>
        </row>
        <row r="389">
          <cell r="A389">
            <v>0</v>
          </cell>
          <cell r="B389" t="str">
            <v>end_group</v>
          </cell>
        </row>
        <row r="390">
          <cell r="A390" t="str">
            <v>Gender (Female) specific questions</v>
          </cell>
          <cell r="B390" t="str">
            <v>begin_group</v>
          </cell>
          <cell r="C390" t="str">
            <v>grp_gender_specific</v>
          </cell>
          <cell r="D390" t="str">
            <v>Gender (Female) specific questions</v>
          </cell>
        </row>
        <row r="391">
          <cell r="A391" t="str">
            <v>(please only ask these at the end of the survey if: 1)  the respondent is female or 2) if the respondent is male, ask if there is a woman present in the HH who we could ask a short set of questions to)</v>
          </cell>
          <cell r="B391" t="str">
            <v>note</v>
          </cell>
          <cell r="C391" t="str">
            <v>note_gender_specific</v>
          </cell>
          <cell r="D391" t="str">
            <v>(please only ask these at the end of the survey if: 1)  the respondent is female or 2) if the respondent is male, ask if there is a woman present in the HH who we could ask a short set of questions to)</v>
          </cell>
        </row>
        <row r="392">
          <cell r="A392" t="str">
            <v> There is a woman present in the HH who we could ask a short set of questions?</v>
          </cell>
          <cell r="B392" t="str">
            <v>select_one yes_no_dk_dwta</v>
          </cell>
          <cell r="C392" t="str">
            <v>specifique_question</v>
          </cell>
          <cell r="D392" t="str">
            <v> There is a woman present in the HH who we could ask a short set of questions?</v>
          </cell>
        </row>
        <row r="393">
          <cell r="A393" t="str">
            <v>As a female, what are the main barriers that you and the other female members of your household face when accesing health facilities?</v>
          </cell>
          <cell r="B393" t="str">
            <v>select_multiple health_facilities_accessing_barriers</v>
          </cell>
          <cell r="C393" t="str">
            <v>fem_health_fac_access_barriers</v>
          </cell>
          <cell r="D393" t="str">
            <v>As a female, what are the main barriers that you and the other female members of your household face when accesing health facilities?</v>
          </cell>
        </row>
        <row r="394">
          <cell r="A394" t="str">
            <v>Please specify</v>
          </cell>
          <cell r="B394" t="str">
            <v>text</v>
          </cell>
          <cell r="C394" t="str">
            <v>fem_health_fac_access_barriers_other</v>
          </cell>
          <cell r="D394" t="str">
            <v>Please specify</v>
          </cell>
        </row>
        <row r="395">
          <cell r="A395" t="str">
            <v>In the past 12 months, are there specific health services that you or any female members of your household needed but were not able to seek due to certain cultural barriers, such as stigma or taboos?</v>
          </cell>
          <cell r="B395" t="str">
            <v>select_one yes_no_dk_dwta</v>
          </cell>
          <cell r="C395" t="str">
            <v>fem_unable_seek_health_cult_barriers</v>
          </cell>
          <cell r="D395" t="str">
            <v>In the past 12 months, are there specific health services that you or any female members of your household needed but were not able to seek due to certain cultural barriers, such as stigma or taboos?</v>
          </cell>
        </row>
        <row r="396">
          <cell r="A396" t="str">
            <v xml:space="preserve">If yes, which services were you not able to access? </v>
          </cell>
          <cell r="B396" t="str">
            <v>select_multiple health_services_available</v>
          </cell>
          <cell r="C396" t="str">
            <v>fem_unable_seek_health_cult_barriers_yes</v>
          </cell>
          <cell r="D396" t="str">
            <v xml:space="preserve">If yes, which services were you not able to access? </v>
          </cell>
        </row>
        <row r="397">
          <cell r="A397" t="str">
            <v>Please specify</v>
          </cell>
          <cell r="B397" t="str">
            <v>text</v>
          </cell>
          <cell r="C397" t="str">
            <v>fem_unable_seek_health_cult_barriers_yes_other</v>
          </cell>
          <cell r="D397" t="str">
            <v>Please specify</v>
          </cell>
        </row>
        <row r="398">
          <cell r="A398" t="str">
            <v>Are you aware of what health services are available in your locality?</v>
          </cell>
          <cell r="B398" t="str">
            <v>select_one yes_no_dk_dwta</v>
          </cell>
          <cell r="C398" t="str">
            <v>aware_of_health_services</v>
          </cell>
          <cell r="D398" t="str">
            <v>Are you aware of what health services are available in your locality?</v>
          </cell>
        </row>
        <row r="399">
          <cell r="A399" t="str">
            <v>If yes, how were you made aware of this information?</v>
          </cell>
          <cell r="B399" t="str">
            <v>select_multiple made_aware</v>
          </cell>
          <cell r="C399" t="str">
            <v>aware_of_health_services_yes</v>
          </cell>
          <cell r="D399" t="str">
            <v>If yes, how were you made aware of this information?</v>
          </cell>
        </row>
        <row r="400">
          <cell r="A400" t="str">
            <v>Please specify</v>
          </cell>
          <cell r="B400" t="str">
            <v>text</v>
          </cell>
          <cell r="C400" t="str">
            <v>aware_of_health_services_yes_other</v>
          </cell>
          <cell r="D400" t="str">
            <v>Please specify</v>
          </cell>
        </row>
        <row r="401">
          <cell r="A401" t="str">
            <v>If no, why not?</v>
          </cell>
          <cell r="B401" t="str">
            <v>select_multiple aware_of_health_services</v>
          </cell>
          <cell r="C401" t="str">
            <v>aware_of_health_services_no</v>
          </cell>
          <cell r="D401" t="str">
            <v>If no, why not?</v>
          </cell>
        </row>
        <row r="402">
          <cell r="A402" t="str">
            <v>Please specify</v>
          </cell>
          <cell r="B402" t="str">
            <v>text</v>
          </cell>
          <cell r="C402" t="str">
            <v>aware_of_health_services_no_other</v>
          </cell>
          <cell r="D402" t="str">
            <v>Please specify</v>
          </cell>
        </row>
        <row r="403">
          <cell r="A403" t="str">
            <v>Are there any risks to safety and security that you or any female members of your household have faced when accessing health services?</v>
          </cell>
          <cell r="B403" t="str">
            <v>select_one yes_no_dk_dwta</v>
          </cell>
          <cell r="C403" t="str">
            <v>safety_security_risks</v>
          </cell>
          <cell r="D403" t="str">
            <v>Are there any risks to safety and security that you or any female members of your household have faced when accessing health services?</v>
          </cell>
        </row>
        <row r="404">
          <cell r="A404" t="str">
            <v>If yes, which risks?</v>
          </cell>
          <cell r="B404" t="str">
            <v>select_multiple safety_security_risks</v>
          </cell>
          <cell r="C404" t="str">
            <v>safety_security_risks_yes</v>
          </cell>
          <cell r="D404" t="str">
            <v>If yes, which risks?</v>
          </cell>
        </row>
        <row r="405">
          <cell r="A405" t="str">
            <v>Are you and other female members of your household aware of the availability of any health or general care services for survivors of SGBV?</v>
          </cell>
          <cell r="B405" t="str">
            <v>select_one yes_no_dk_dwta</v>
          </cell>
          <cell r="C405" t="str">
            <v>sgbv_services</v>
          </cell>
          <cell r="D405" t="str">
            <v>Are you and other female members of your household aware of the availability of any health or general care services for survivors of SGBV?</v>
          </cell>
        </row>
        <row r="406">
          <cell r="A406" t="str">
            <v>If you were to require SGBV services, do you and other female members of your HH have the information you would need to access them?</v>
          </cell>
          <cell r="B406" t="str">
            <v>select_one yes_no_dk_dwta</v>
          </cell>
          <cell r="C406" t="str">
            <v>sgbv_services_info</v>
          </cell>
          <cell r="D406" t="str">
            <v>If you were to require SGBV services, do you and other female members of your HH have the information you would need to access them?</v>
          </cell>
        </row>
        <row r="407">
          <cell r="A407" t="str">
            <v>How would you or any female members of your household like to receive information about SGBV services?</v>
          </cell>
          <cell r="B407" t="str">
            <v>select_multiple receive_information_services</v>
          </cell>
          <cell r="C407" t="str">
            <v>sgbv_services_info2</v>
          </cell>
          <cell r="D407" t="str">
            <v>How would you or any female members of your household like to receive information about SGBV services?</v>
          </cell>
        </row>
        <row r="408">
          <cell r="A408" t="str">
            <v>Please specify who</v>
          </cell>
          <cell r="B408" t="str">
            <v>text</v>
          </cell>
          <cell r="C408" t="str">
            <v>sgbv_services_info2_cl</v>
          </cell>
          <cell r="D408" t="str">
            <v>Please specify who</v>
          </cell>
        </row>
        <row r="409">
          <cell r="A409" t="str">
            <v>Please specify</v>
          </cell>
          <cell r="B409" t="str">
            <v>text</v>
          </cell>
          <cell r="C409" t="str">
            <v>sgbv_services_info2_other</v>
          </cell>
          <cell r="D409" t="str">
            <v>Please specify</v>
          </cell>
        </row>
        <row r="410">
          <cell r="A410" t="str">
            <v>As a female, what are the main barriers that you or any female members of your household face when accessing education facilities?</v>
          </cell>
          <cell r="B410" t="str">
            <v>select_multiple educ_facility_barriers</v>
          </cell>
          <cell r="C410" t="str">
            <v>educ_facility_barriers</v>
          </cell>
          <cell r="D410" t="str">
            <v>As a female, what are the main barriers that you or any female members of your household face when accessing education facilities?</v>
          </cell>
        </row>
        <row r="411">
          <cell r="A411" t="str">
            <v>Please specify</v>
          </cell>
          <cell r="B411" t="str">
            <v>text</v>
          </cell>
          <cell r="C411" t="str">
            <v>educ_facility_barriers_specify</v>
          </cell>
          <cell r="D411" t="str">
            <v>Please specify</v>
          </cell>
        </row>
        <row r="412">
          <cell r="A412" t="str">
            <v>In the past 12 months, are there specific educational services that you or any female members of your household needed but were not able to seek due to certain cultural barriers, such as stigma or taboos?</v>
          </cell>
          <cell r="B412" t="str">
            <v>select_one yes_no_dk_dwta</v>
          </cell>
          <cell r="C412" t="str">
            <v>cultural_barriers_edu</v>
          </cell>
          <cell r="D412" t="str">
            <v>In the past 12 months, are there specific educational services that you or any female members of your household needed but were not able to seek due to certain cultural barriers, such as stigma or taboos?</v>
          </cell>
        </row>
        <row r="413">
          <cell r="A413" t="str">
            <v>Are you aware of what education services are available in your locality?</v>
          </cell>
          <cell r="B413" t="str">
            <v>select_one yes_no_dk_dwta</v>
          </cell>
          <cell r="C413" t="str">
            <v>education_services_info</v>
          </cell>
          <cell r="D413" t="str">
            <v>Are you aware of what education services are available in your locality?</v>
          </cell>
        </row>
        <row r="414">
          <cell r="A414" t="str">
            <v>If yes, how were you made aware of this information?</v>
          </cell>
          <cell r="B414" t="str">
            <v>select_multiple made_aware</v>
          </cell>
          <cell r="C414" t="str">
            <v>education_services_info_yes</v>
          </cell>
          <cell r="D414" t="str">
            <v>If yes, how were you made aware of this information?</v>
          </cell>
        </row>
        <row r="415">
          <cell r="A415" t="str">
            <v>Please specify</v>
          </cell>
          <cell r="B415" t="str">
            <v>text</v>
          </cell>
          <cell r="C415" t="str">
            <v>education_services_info_yes_other</v>
          </cell>
          <cell r="D415" t="str">
            <v>Please specify</v>
          </cell>
        </row>
        <row r="416">
          <cell r="A416" t="str">
            <v>If no, why not?</v>
          </cell>
          <cell r="B416" t="str">
            <v>select_multiple aware_of_educ_services</v>
          </cell>
          <cell r="C416" t="str">
            <v>education_services_info_no</v>
          </cell>
          <cell r="D416" t="str">
            <v>If no, why not?</v>
          </cell>
        </row>
        <row r="417">
          <cell r="A417" t="str">
            <v>Please specify</v>
          </cell>
          <cell r="B417" t="str">
            <v>text</v>
          </cell>
          <cell r="C417" t="str">
            <v>education_services_info_no_other</v>
          </cell>
          <cell r="D417" t="str">
            <v>Please specify</v>
          </cell>
        </row>
        <row r="418">
          <cell r="A418" t="str">
            <v>Are there any risks to safety and security that you or any female members of your household have faced when accessing education services?</v>
          </cell>
          <cell r="B418" t="str">
            <v>select_one yes_no_dk_dwta</v>
          </cell>
          <cell r="C418" t="str">
            <v>education_security_risks</v>
          </cell>
          <cell r="D418" t="str">
            <v>Are there any risks to safety and security that you or any female members of your household have faced when accessing education services?</v>
          </cell>
        </row>
        <row r="419">
          <cell r="A419" t="str">
            <v>If yes, which risks?</v>
          </cell>
          <cell r="B419" t="str">
            <v>select_multiple safety_security_risks</v>
          </cell>
          <cell r="C419" t="str">
            <v>education_security_risks_yes</v>
          </cell>
          <cell r="D419" t="str">
            <v>If yes, which risks?</v>
          </cell>
        </row>
        <row r="420">
          <cell r="A420" t="str">
            <v>As a female, what are the main barriers that you or any female members of your household face when accessing water facilities?</v>
          </cell>
          <cell r="B420" t="str">
            <v>select_multiple water_facility_barriers</v>
          </cell>
          <cell r="C420" t="str">
            <v>water_facility_barriers</v>
          </cell>
          <cell r="D420" t="str">
            <v>As a female, what are the main barriers that you or any female members of your household face when accessing water facilities?</v>
          </cell>
        </row>
        <row r="421">
          <cell r="A421" t="str">
            <v>Please specify</v>
          </cell>
          <cell r="B421" t="str">
            <v>text</v>
          </cell>
          <cell r="C421" t="str">
            <v>water_facility_barriers_other</v>
          </cell>
          <cell r="D421" t="str">
            <v>Please specify</v>
          </cell>
        </row>
        <row r="422">
          <cell r="A422" t="str">
            <v>In the past 12 months, are there specific water services that you or any female members of your household needed but were not able to seek due to certain cultural barriers, such as stigma or taboos?</v>
          </cell>
          <cell r="B422" t="str">
            <v>select_one yes_no_dk_dwta</v>
          </cell>
          <cell r="C422" t="str">
            <v>water_services_cultural_barriers</v>
          </cell>
          <cell r="D422" t="str">
            <v>In the past 12 months, are there specific water services that you or any female members of your household needed but were not able to seek due to certain cultural barriers, such as stigma or taboos?</v>
          </cell>
        </row>
        <row r="423">
          <cell r="A423" t="str">
            <v>Are you aware of what water services are available in your locality?</v>
          </cell>
          <cell r="B423" t="str">
            <v>select_one yes_no_dk_dwta</v>
          </cell>
          <cell r="C423" t="str">
            <v>water_services_info</v>
          </cell>
          <cell r="D423" t="str">
            <v>Are you aware of what water services are available in your locality?</v>
          </cell>
        </row>
        <row r="424">
          <cell r="A424" t="str">
            <v>If yes, how were you made aware of this information?</v>
          </cell>
          <cell r="B424" t="str">
            <v>select_multiple made_aware</v>
          </cell>
          <cell r="C424" t="str">
            <v>water_services_info_yes</v>
          </cell>
          <cell r="D424" t="str">
            <v>If yes, how were you made aware of this information?</v>
          </cell>
        </row>
        <row r="425">
          <cell r="A425" t="str">
            <v>Please specify</v>
          </cell>
          <cell r="B425" t="str">
            <v>text</v>
          </cell>
          <cell r="C425" t="str">
            <v>water_services_info_yes_other</v>
          </cell>
          <cell r="D425" t="str">
            <v>Please specify</v>
          </cell>
        </row>
        <row r="426">
          <cell r="A426" t="str">
            <v>If no, why not?</v>
          </cell>
          <cell r="B426" t="str">
            <v>select_multiple aware_of_water_services</v>
          </cell>
          <cell r="C426" t="str">
            <v>water_services_info_no</v>
          </cell>
          <cell r="D426" t="str">
            <v>If no, why not?</v>
          </cell>
        </row>
        <row r="427">
          <cell r="A427" t="str">
            <v>Please specify</v>
          </cell>
          <cell r="B427" t="str">
            <v>text</v>
          </cell>
          <cell r="C427" t="str">
            <v>water_services_info_no_other</v>
          </cell>
          <cell r="D427" t="str">
            <v>Please specify</v>
          </cell>
        </row>
        <row r="428">
          <cell r="A428" t="str">
            <v>Are there any risks to safety and security that you or any female members of your household have faced when accessing water services?</v>
          </cell>
          <cell r="B428" t="str">
            <v>select_one yes_no_dk_dwta</v>
          </cell>
          <cell r="C428" t="str">
            <v>water_security_risks</v>
          </cell>
          <cell r="D428" t="str">
            <v>Are there any risks to safety and security that you or any female members of your household have faced when accessing water services?</v>
          </cell>
        </row>
        <row r="429">
          <cell r="A429" t="str">
            <v>If yes, which risks?</v>
          </cell>
          <cell r="B429" t="str">
            <v>select_multiple risk_travel_water</v>
          </cell>
          <cell r="C429" t="str">
            <v>water_security_risks_yes</v>
          </cell>
          <cell r="D429" t="str">
            <v>If yes, which risks?</v>
          </cell>
        </row>
        <row r="430">
          <cell r="A430">
            <v>0</v>
          </cell>
          <cell r="B430" t="str">
            <v>end_group</v>
          </cell>
        </row>
        <row r="431">
          <cell r="A431" t="str">
            <v>Please record the GPS coordinates of the household if inside hold the phone by a window or leave the building, please wait for accuracy to drop below 5 metres</v>
          </cell>
          <cell r="B431" t="str">
            <v>geopoint</v>
          </cell>
          <cell r="C431" t="str">
            <v>gps</v>
          </cell>
          <cell r="D431" t="str">
            <v>Please record the GPS coordinates of the household if inside hold the phone by a window or leave the building, please wait for accuracy to drop below 5 metres</v>
          </cell>
        </row>
        <row r="432">
          <cell r="A432" t="str">
            <v>Do you "enumerator", have any comment to share?</v>
          </cell>
          <cell r="B432" t="str">
            <v>text</v>
          </cell>
          <cell r="C432" t="str">
            <v>enum_comment</v>
          </cell>
          <cell r="D432" t="str">
            <v>Do you "enumerator", have any comment to share?</v>
          </cell>
        </row>
        <row r="433">
          <cell r="A433" t="str">
            <v>**Thank you very much, we appreciate you taking the time to speak to us today.**</v>
          </cell>
          <cell r="B433" t="str">
            <v>note</v>
          </cell>
          <cell r="C433" t="str">
            <v>note_thank_you</v>
          </cell>
          <cell r="D433" t="str">
            <v>**Thank you very much, we appreciate you taking the time to speak to us today.**</v>
          </cell>
        </row>
        <row r="434">
          <cell r="A434">
            <v>0</v>
          </cell>
          <cell r="B434" t="str">
            <v>end_group</v>
          </cell>
          <cell r="C434" t="str">
            <v>interview</v>
          </cell>
        </row>
        <row r="435">
          <cell r="A435" t="str">
            <v>Thank you for your time. Skip to end for respondents not giving consent for interview</v>
          </cell>
          <cell r="B435" t="str">
            <v>note</v>
          </cell>
          <cell r="C435" t="str">
            <v>note_consent_no</v>
          </cell>
          <cell r="D435" t="str">
            <v>Thank you for your time. Skip to end for respondents not giving consent for interview</v>
          </cell>
        </row>
      </sheetData>
      <sheetData sheetId="1"/>
      <sheetData sheetId="2"/>
    </sheetDataSet>
  </externalBook>
</externalLink>
</file>

<file path=xl/persons/person.xml><?xml version="1.0" encoding="utf-8"?>
<personList xmlns="http://schemas.microsoft.com/office/spreadsheetml/2018/threadedcomments" xmlns:x="http://schemas.openxmlformats.org/spreadsheetml/2006/main">
  <person displayName="Lowri DAVIES" id="{B6C02508-789F-4920-8D76-C716D6CAAF21}" userId="S::lowri.davies@impact-initiatives.org::0aa64fc0-fcd2-437d-ad17-67fdf53437b3" providerId="AD"/>
  <person displayName="Luca GIRARDI" id="{F67D5E03-D688-4110-BB97-DE189F7FA9D5}" userId="S::luca.girardi@impact-initiatives.org::f18923d1-501e-4958-97e9-93596c34e8d2" providerId="AD"/>
  <person displayName="Marie AFTALION" id="{E45E391A-4B97-4072-AD7C-264224DF8FC8}" userId="S::marie.aftalion@impact-initiatives.org::95e95693-014d-46ef-94f9-7d1251858c74"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7" dT="2024-03-20T16:14:09.13" personId="{B6C02508-789F-4920-8D76-C716D6CAAF21}" id="{C81305F9-5885-44E9-9BBD-C37C702B1239}">
    <text>Not really relevant for us</text>
  </threadedComment>
  <threadedComment ref="J41" dT="2023-09-01T09:20:16.19" personId="{F67D5E03-D688-4110-BB97-DE189F7FA9D5}" id="{E638CC55-49F8-422E-9DC1-ED290EEE07A7}">
    <text>It covers also 2.1.12</text>
  </threadedComment>
  <threadedComment ref="J97" dT="2023-10-30T13:15:27.33" personId="{F67D5E03-D688-4110-BB97-DE189F7FA9D5}" id="{2DDA8FCB-79BF-41A9-9CA5-99CCB4383505}">
    <text>And 4.1.4</text>
  </threadedComment>
  <threadedComment ref="J201" dT="2023-09-01T08:53:43.75" personId="{F67D5E03-D688-4110-BB97-DE189F7FA9D5}" id="{E383B9F6-5B59-48E0-8743-878D468DBB78}">
    <text>The whole set of questions (main and follow-up) cover 2.1.4.3, 2.1.4.4 and 2.1.5)</text>
  </threadedComment>
  <threadedComment ref="J232" dT="2023-09-01T09:31:35.90" personId="{F67D5E03-D688-4110-BB97-DE189F7FA9D5}" id="{6075EA9B-B9B6-49EC-ABBA-7ABDF8F56FF0}">
    <text>It covers also 2.4.2.2</text>
  </threadedComment>
</ThreadedComments>
</file>

<file path=xl/threadedComments/threadedComment2.xml><?xml version="1.0" encoding="utf-8"?>
<ThreadedComments xmlns="http://schemas.microsoft.com/office/spreadsheetml/2018/threadedcomments" xmlns:x="http://schemas.openxmlformats.org/spreadsheetml/2006/main">
  <threadedComment ref="G173" dT="2024-03-20T10:10:23.69" personId="{B6C02508-789F-4920-8D76-C716D6CAAF21}" id="{A7BFBF87-2CEC-4D29-88F7-BF9FF503A447}">
    <text>Not directly linked to service caps but informs HH income levels, so consider including</text>
  </threadedComment>
</ThreadedComments>
</file>

<file path=xl/threadedComments/threadedComment3.xml><?xml version="1.0" encoding="utf-8"?>
<ThreadedComments xmlns="http://schemas.microsoft.com/office/spreadsheetml/2018/threadedcomments" xmlns:x="http://schemas.openxmlformats.org/spreadsheetml/2006/main">
  <threadedComment ref="J6" dT="2023-08-31T15:48:20.09" personId="{F67D5E03-D688-4110-BB97-DE189F7FA9D5}" id="{E5DE1445-76A2-4AB6-9F66-D01FF6271350}">
    <text>This ABA indicator allows to calculate A.1.1, A.1.2 and A.1.3</text>
  </threadedComment>
  <threadedComment ref="J7" dT="2023-08-31T15:48:20.09" personId="{F67D5E03-D688-4110-BB97-DE189F7FA9D5}" id="{94733650-F481-45BB-B3B1-FC6284343633}">
    <text>This ABA indicator allows to calculate A.1.1, A.1.2 and A.1.3</text>
  </threadedComment>
  <threadedComment ref="J43" dT="2023-09-01T07:48:16.54" personId="{F67D5E03-D688-4110-BB97-DE189F7FA9D5}" id="{72381688-A67B-4E7C-98DA-97DA303E4068}">
    <text>Follow up questions might be necessary to include A.3.1.2, A.3.1.3 and A.3.1.4</text>
  </threadedComment>
</ThreadedComments>
</file>

<file path=xl/threadedComments/threadedComment4.xml><?xml version="1.0" encoding="utf-8"?>
<ThreadedComments xmlns="http://schemas.microsoft.com/office/spreadsheetml/2018/threadedcomments" xmlns:x="http://schemas.openxmlformats.org/spreadsheetml/2006/main">
  <threadedComment ref="G2" dT="2024-04-09T08:30:46.90" personId="{F67D5E03-D688-4110-BB97-DE189F7FA9D5}" id="{7A15E06A-4973-49F2-ADD6-97C3301946C3}">
    <text>In general tool is good but long, I think some questions could be merged/dropped. Is there a rationale for the need of such information? External partners have been consulted to understand what info they really need? 
In addition it would be nice to have the indicator column, to understand what exactly you would like to measure with the listed questions. ABA IL could be a source for this + insights for merging/prioritising questions/indicators! ☺️</text>
  </threadedComment>
  <threadedComment ref="J9" dT="2024-04-04T15:36:53.69" personId="{E45E391A-4B97-4072-AD7C-264224DF8FC8}" id="{279DF6C9-55FC-4910-A0C7-76985F381D19}" done="1">
    <text>In red are things I've added or changed (I will always leave the previous version if I changed if you would really wish to revert back)</text>
  </threadedComment>
  <threadedComment ref="I20" dT="2024-04-05T12:03:11.62" personId="{E45E391A-4B97-4072-AD7C-264224DF8FC8}" id="{18FA527F-06A2-4FD2-9CD6-321325CD31FB}" done="1">
    <text>That's very few options. What about access to education, health, presence of humanitarian assistance etc</text>
  </threadedComment>
  <threadedComment ref="I39" dT="2024-04-05T12:10:45.96" personId="{E45E391A-4B97-4072-AD7C-264224DF8FC8}" id="{3C9AFD1E-D59F-453A-960D-A4557630D9FE}" done="1">
    <text>Why not ask for a time range instead? I don't really understand how the enumerator will be able to get the GPS coordinates</text>
  </threadedComment>
  <threadedComment ref="H40" dT="2024-04-09T08:11:41.52" personId="{F67D5E03-D688-4110-BB97-DE189F7FA9D5}" id="{C92E1E16-3467-4535-9F63-B22AF5E5B054}" done="1">
    <text>Better select multiple with range</text>
  </threadedComment>
  <threadedComment ref="I40" dT="2024-04-09T08:11:21.98" personId="{F67D5E03-D688-4110-BB97-DE189F7FA9D5}" id="{4EE3A3A7-E9BE-4CAD-A928-20E7822F5C9F}" done="1">
    <text xml:space="preserve">Suggest to use:
Water on premises 
Less than 5 min to fetch and return 
Between 5 and 15 min to fetch and return 
Between 16 and 30 min to fetch and return
More than 31min to fetch and return 
Don’t know
</text>
  </threadedComment>
  <threadedComment ref="L40" dT="2024-04-09T08:11:41.52" personId="{F67D5E03-D688-4110-BB97-DE189F7FA9D5}" id="{0ECF221A-596B-442E-8D46-528E94EB6E76}" done="1">
    <text>Better select multiple with range</text>
  </threadedComment>
  <threadedComment ref="H41" dT="2024-04-09T08:11:41.52" personId="{F67D5E03-D688-4110-BB97-DE189F7FA9D5}" id="{7FDD8C53-14A6-42A8-8B8F-F30E66F948DD}" done="1">
    <text>Better select multiple with range</text>
  </threadedComment>
  <threadedComment ref="I41" dT="2024-04-09T08:11:21.98" personId="{F67D5E03-D688-4110-BB97-DE189F7FA9D5}" id="{BAB94EA7-3807-453C-9318-7F962F325AA6}" done="1">
    <text xml:space="preserve">Suggest to use:
Water on premises 
Less than 5 min to fetch and return 
Between 5 and 15 min to fetch and return 
Between 16 and 30 min to fetch and return
More than 31min to fetch and return 
Don’t know
</text>
  </threadedComment>
  <threadedComment ref="D43" dT="2024-04-09T08:04:30.45" personId="{F67D5E03-D688-4110-BB97-DE189F7FA9D5}" id="{B49843A7-D025-4592-A5D4-75F009393767}">
    <text>For all "water source functionality": Why this info from HHs? You should have this from phase 2 right? Or you want to understand how many HH rely on "functional"or "not functional" water points ?</text>
  </threadedComment>
  <threadedComment ref="D43" dT="2024-04-09T14:35:13.04" personId="{B6C02508-789F-4920-8D76-C716D6CAAF21}" id="{FD35BAE9-5FCF-4DDF-9953-B662D29CA1D8}" parentId="{B49843A7-D025-4592-A5D4-75F009393767}">
    <text>We would like to keep this to understand HH perceptions of functionality and the and as you mention to understand if any people are using non functional sources as their primary source</text>
  </threadedComment>
  <threadedComment ref="I48" dT="2024-04-05T12:14:50.17" personId="{E45E391A-4B97-4072-AD7C-264224DF8FC8}" id="{4DC3FD45-7E6A-4C8A-84D7-05E56B4EC2C0}" done="1">
    <text>Could also have an option about water quality, no?</text>
  </threadedComment>
  <threadedComment ref="D50" dT="2024-04-09T08:13:09.21" personId="{F67D5E03-D688-4110-BB97-DE189F7FA9D5}" id="{E0613CBB-FDB9-4713-AC21-7B71E514E2FE}" done="1">
    <text>This is availability, not accessibility</text>
  </threadedComment>
  <threadedComment ref="I55" dT="2024-04-05T12:17:35.42" personId="{E45E391A-4B97-4072-AD7C-264224DF8FC8}" id="{D6EA11C1-2692-4E92-A9B0-AC1CCA4C3F40}" done="1">
    <text>Other option is needed here</text>
  </threadedComment>
  <threadedComment ref="I56" dT="2024-04-05T12:17:53.03" personId="{E45E391A-4B97-4072-AD7C-264224DF8FC8}" id="{E42B3FBD-39A4-486D-8E87-D3F987DC5ED7}" done="1">
    <text>If yes, should be a separate question</text>
  </threadedComment>
  <threadedComment ref="I60" dT="2024-04-05T12:22:37.56" personId="{E45E391A-4B97-4072-AD7C-264224DF8FC8}" id="{37A87F4A-A14A-42BD-9ED9-D636EE1F4002}" done="1">
    <text>No instance of violence or discriminations not based on gender, displacement status or disability? Like just because the area is unsafe in general</text>
  </threadedComment>
  <threadedComment ref="I63" dT="2024-04-05T12:23:16.09" personId="{E45E391A-4B97-4072-AD7C-264224DF8FC8}" id="{0D74ED12-78F8-49B3-A4EF-5EC1A279F2EF}" done="1">
    <text>Can there be an option for Not informed? Or is there a skip logic not written there?</text>
  </threadedComment>
  <threadedComment ref="G65" dT="2024-04-09T08:15:08.35" personId="{F67D5E03-D688-4110-BB97-DE189F7FA9D5}" id="{3B3785F9-34AB-4920-9086-3F0D590A67E1}" done="1">
    <text>Why are you refering to wash? Are sanitation and hygiene included?</text>
  </threadedComment>
  <threadedComment ref="G65" dT="2024-04-09T08:25:47.78" personId="{F67D5E03-D688-4110-BB97-DE189F7FA9D5}" id="{30488535-DDFF-48CF-947F-AD6DE649678F}" parentId="{3B3785F9-34AB-4920-9086-3F0D590A67E1}">
    <text>I suggest the q/i 3.212 rather than this and following, maybe using a rank from 1to3 as a tyoe of question. Of course you can keep a contextualised list of choices</text>
  </threadedComment>
  <threadedComment ref="A68" dT="2024-04-09T08:26:36.51" personId="{F67D5E03-D688-4110-BB97-DE189F7FA9D5}" id="{E8DDC6D9-DC65-4705-A914-3EA291778123}" done="1">
    <text>Similar as wash on functionality and priorities</text>
  </threadedComment>
  <threadedComment ref="I140" dT="2024-04-05T12:47:44.00" personId="{E45E391A-4B97-4072-AD7C-264224DF8FC8}" id="{9FF297DF-873D-4139-B9FF-48D9FBB21D10}" done="1">
    <text>Same comment as for WASH, maybe they don't receive it at all</text>
  </threadedComment>
  <threadedComment ref="I155" dT="2024-04-09T09:48:49.85" personId="{E45E391A-4B97-4072-AD7C-264224DF8FC8}" id="{A167B80E-CD8B-479C-BF0D-1C2438289612}" done="1">
    <text>None should be an option</text>
  </threadedComment>
  <threadedComment ref="I163" dT="2024-04-05T13:05:29.77" personId="{E45E391A-4B97-4072-AD7C-264224DF8FC8}" id="{5FC0C0E7-4218-45DC-ABFA-F443C1D85224}" done="1">
    <text>No info?</text>
  </threadedComment>
</ThreadedComments>
</file>

<file path=xl/worksheets/_rels/sheet1.xml.rels><?xml version="1.0" encoding="UTF-8" standalone="yes"?>
<Relationships xmlns="http://schemas.openxmlformats.org/package/2006/relationships"><Relationship Id="rId8" Type="http://schemas.microsoft.com/office/2017/10/relationships/threadedComment" Target="../threadedComments/threadedComment1.xml"/><Relationship Id="rId3" Type="http://schemas.openxmlformats.org/officeDocument/2006/relationships/hyperlink" Target="../../../../../../../:f:/r/sites/IMPACT-Public_health/Shared%20Documents/Sectors/FSL/02_Assessment%20Design/2.%20FSL%20Indicators%20Guidance/HHS?csf=1&amp;web=1&amp;e=zZ9veX" TargetMode="External"/><Relationship Id="rId7" Type="http://schemas.openxmlformats.org/officeDocument/2006/relationships/comments" Target="../comments1.xml"/><Relationship Id="rId2" Type="http://schemas.openxmlformats.org/officeDocument/2006/relationships/hyperlink" Target="../../../../../../../:f:/r/sites/IMPACT-Public_health/Shared%20Documents/Sectors/FSL/02_Assessment%20Design/2.%20FSL%20Indicators%20Guidance/rCSI?csf=1&amp;web=1&amp;e=G88T0Q" TargetMode="External"/><Relationship Id="rId1" Type="http://schemas.openxmlformats.org/officeDocument/2006/relationships/hyperlink" Target="../../../../../../../:f:/r/sites/IMPACT-Public_health/Shared%20Documents/Sectors/FSL/02_Assessment%20Design/2.%20FSL%20Indicators%20Guidance/LCSI?csf=1&amp;web=1&amp;e=OxUyiz" TargetMode="External"/><Relationship Id="rId6" Type="http://schemas.openxmlformats.org/officeDocument/2006/relationships/vmlDrawing" Target="../drawings/vmlDrawing1.vml"/><Relationship Id="rId5" Type="http://schemas.openxmlformats.org/officeDocument/2006/relationships/printerSettings" Target="../printerSettings/printerSettings1.bin"/><Relationship Id="rId4" Type="http://schemas.openxmlformats.org/officeDocument/2006/relationships/hyperlink" Target="../../../../../../../:f:/r/sites/IMPACT-Public_health/Shared%20Documents/Sectors/FSL/02_Assessment%20Design/2.%20FSL%20Indicators%20Guidance/FCS?csf=1&amp;web=1&amp;e=Xzw822" TargetMode="External"/></Relationships>
</file>

<file path=xl/worksheets/_rels/sheet2.xml.rels><?xml version="1.0" encoding="UTF-8" standalone="yes"?>
<Relationships xmlns="http://schemas.openxmlformats.org/package/2006/relationships"><Relationship Id="rId8" Type="http://schemas.openxmlformats.org/officeDocument/2006/relationships/vmlDrawing" Target="../drawings/vmlDrawing2.vml"/><Relationship Id="rId3" Type="http://schemas.openxmlformats.org/officeDocument/2006/relationships/hyperlink" Target="https://www.ilo.org/wcmsp5/groups/public/---ed_emp/---ifp_skills/documents/publication/wcms_469456.pdf" TargetMode="External"/><Relationship Id="rId7" Type="http://schemas.openxmlformats.org/officeDocument/2006/relationships/printerSettings" Target="../printerSettings/printerSettings2.bin"/><Relationship Id="rId2" Type="http://schemas.openxmlformats.org/officeDocument/2006/relationships/hyperlink" Target="https://www.ilo.org/wcmsp5/groups/public/---ed_emp/---ifp_skills/documents/publication/wcms_469456.pdf" TargetMode="External"/><Relationship Id="rId1" Type="http://schemas.openxmlformats.org/officeDocument/2006/relationships/hyperlink" Target="../../../../../../IMPACT-Public_health/Shared%20Documents/Forms/AllItems.aspx?FolderCTID=0x012000A63C13E676312947AFCF96A5D6B4BE0C&amp;id=%2Fsites%2FIMPACT%2DPublic%5Fhealth%2FShared%20Documents%2FSectors%2FFSL%2F02%5FAssessment%20Design%2F2%2E%20FSL%20Indicator%20Selection%20Guidance&amp;viewid=7351a383%2D5444%2D485d%2Dae60%2D4a56331b7912" TargetMode="External"/><Relationship Id="rId6" Type="http://schemas.openxmlformats.org/officeDocument/2006/relationships/hyperlink" Target="https://www.ilo.org/wcmsp5/groups/public/---ed_emp/---ifp_skills/documents/publication/wcms_469456.pdf" TargetMode="External"/><Relationship Id="rId5" Type="http://schemas.openxmlformats.org/officeDocument/2006/relationships/hyperlink" Target="https://www.ilo.org/wcmsp5/groups/public/---ed_emp/---ifp_skills/documents/publication/wcms_469456.pdf" TargetMode="External"/><Relationship Id="rId10" Type="http://schemas.microsoft.com/office/2017/10/relationships/threadedComment" Target="../threadedComments/threadedComment2.xml"/><Relationship Id="rId4" Type="http://schemas.openxmlformats.org/officeDocument/2006/relationships/hyperlink" Target="https://www.ilo.org/wcmsp5/groups/public/---ed_emp/---ifp_skills/documents/publication/wcms_469456.pdf" TargetMode="External"/><Relationship Id="rId9" Type="http://schemas.openxmlformats.org/officeDocument/2006/relationships/comments" Target="../comments2.xml"/></Relationships>
</file>

<file path=xl/worksheets/_rels/sheet3.xml.rels><?xml version="1.0" encoding="UTF-8" standalone="yes"?>
<Relationships xmlns="http://schemas.openxmlformats.org/package/2006/relationships"><Relationship Id="rId8" Type="http://schemas.microsoft.com/office/2017/10/relationships/threadedComment" Target="../threadedComments/threadedComment3.xml"/><Relationship Id="rId3" Type="http://schemas.openxmlformats.org/officeDocument/2006/relationships/hyperlink" Target="https://fews.net/data/livelihood-zones" TargetMode="External"/><Relationship Id="rId7" Type="http://schemas.openxmlformats.org/officeDocument/2006/relationships/comments" Target="../comments3.xml"/><Relationship Id="rId2" Type="http://schemas.openxmlformats.org/officeDocument/2006/relationships/hyperlink" Target="https://fews.net/data/livelihood-zones" TargetMode="External"/><Relationship Id="rId1" Type="http://schemas.openxmlformats.org/officeDocument/2006/relationships/hyperlink" Target="https://www.washingtongroup-disability.com/fileadmin/uploads/wg/Washington_Group_Questionnaire__1_-_WG_Short_Set_on_Functioning__October_2022_.pdf" TargetMode="External"/><Relationship Id="rId6" Type="http://schemas.openxmlformats.org/officeDocument/2006/relationships/vmlDrawing" Target="../drawings/vmlDrawing3.vml"/><Relationship Id="rId5" Type="http://schemas.openxmlformats.org/officeDocument/2006/relationships/printerSettings" Target="../printerSettings/printerSettings3.bin"/><Relationship Id="rId4" Type="http://schemas.openxmlformats.org/officeDocument/2006/relationships/hyperlink" Target="https://www.washingtongroup-disability.com/fileadmin/uploads/wg/Washington_Group_Questionnaire__1_-_WG_Short_Set_on_Functioning__October_2022_.pdf" TargetMode="Externa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B22FE-3B72-4BDA-B764-BEDCCE5C4C66}">
  <dimension ref="A1:M265"/>
  <sheetViews>
    <sheetView topLeftCell="E1" zoomScale="85" zoomScaleNormal="85" workbookViewId="0">
      <pane ySplit="1" topLeftCell="A230" activePane="bottomLeft" state="frozen"/>
      <selection activeCell="C1" sqref="C1"/>
      <selection pane="bottomLeft" activeCell="G6" sqref="G6"/>
    </sheetView>
  </sheetViews>
  <sheetFormatPr defaultColWidth="8.54296875" defaultRowHeight="16"/>
  <cols>
    <col min="1" max="1" width="8.54296875" style="24"/>
    <col min="2" max="2" width="12.54296875" style="27" customWidth="1"/>
    <col min="3" max="3" width="12.54296875" style="28" customWidth="1"/>
    <col min="4" max="4" width="21" style="23" bestFit="1" customWidth="1"/>
    <col min="5" max="5" width="33.54296875" style="22" customWidth="1"/>
    <col min="6" max="6" width="33.54296875" style="24" customWidth="1"/>
    <col min="7" max="7" width="133.54296875" style="25" customWidth="1"/>
    <col min="8" max="8" width="33.54296875" style="22" customWidth="1"/>
    <col min="9" max="9" width="13" style="23" customWidth="1"/>
    <col min="10" max="10" width="13" style="68" customWidth="1"/>
    <col min="11" max="11" width="17.81640625" style="26" customWidth="1"/>
    <col min="12" max="12" width="11.54296875" style="73" customWidth="1"/>
    <col min="13" max="13" width="32.1796875" style="23" customWidth="1"/>
    <col min="14" max="16384" width="8.54296875" style="24"/>
  </cols>
  <sheetData>
    <row r="1" spans="1:13" s="93" customFormat="1" ht="31.5" customHeight="1">
      <c r="A1" s="109" t="s">
        <v>0</v>
      </c>
      <c r="B1" s="86" t="s">
        <v>1</v>
      </c>
      <c r="C1" s="87" t="s">
        <v>2</v>
      </c>
      <c r="D1" s="88" t="s">
        <v>3</v>
      </c>
      <c r="E1" s="88" t="s">
        <v>4</v>
      </c>
      <c r="F1" s="89" t="s">
        <v>5</v>
      </c>
      <c r="G1" s="90" t="s">
        <v>6</v>
      </c>
      <c r="H1" s="91" t="s">
        <v>7</v>
      </c>
      <c r="I1" s="92" t="s">
        <v>8</v>
      </c>
      <c r="J1" s="88" t="s">
        <v>9</v>
      </c>
      <c r="K1" s="91" t="s">
        <v>10</v>
      </c>
      <c r="L1" s="88" t="s">
        <v>11</v>
      </c>
      <c r="M1" s="88" t="s">
        <v>12</v>
      </c>
    </row>
    <row r="2" spans="1:13" s="31" customFormat="1">
      <c r="A2" s="57" t="s">
        <v>13</v>
      </c>
      <c r="B2" s="47">
        <v>3</v>
      </c>
      <c r="C2" s="55">
        <v>2</v>
      </c>
      <c r="D2" s="57" t="s">
        <v>14</v>
      </c>
      <c r="E2" s="53" t="s">
        <v>15</v>
      </c>
      <c r="F2" s="33" t="s">
        <v>16</v>
      </c>
      <c r="G2" s="137" t="s">
        <v>17</v>
      </c>
      <c r="H2" s="42" t="s">
        <v>18</v>
      </c>
      <c r="I2" s="51" t="s">
        <v>19</v>
      </c>
      <c r="J2" s="65"/>
      <c r="K2" s="51" t="s">
        <v>20</v>
      </c>
      <c r="L2" s="69"/>
      <c r="M2" s="51"/>
    </row>
    <row r="3" spans="1:13" s="31" customFormat="1">
      <c r="A3" s="57" t="s">
        <v>21</v>
      </c>
      <c r="B3" s="47">
        <v>3</v>
      </c>
      <c r="C3" s="55">
        <v>3</v>
      </c>
      <c r="D3" s="57" t="s">
        <v>14</v>
      </c>
      <c r="E3" s="53" t="s">
        <v>15</v>
      </c>
      <c r="F3" s="33" t="s">
        <v>22</v>
      </c>
      <c r="G3" s="137" t="s">
        <v>23</v>
      </c>
      <c r="H3" s="42" t="s">
        <v>24</v>
      </c>
      <c r="I3" s="51" t="s">
        <v>19</v>
      </c>
      <c r="J3" s="65"/>
      <c r="K3" s="51" t="s">
        <v>20</v>
      </c>
      <c r="L3" s="69"/>
      <c r="M3" s="51"/>
    </row>
    <row r="4" spans="1:13">
      <c r="A4" s="57" t="s">
        <v>25</v>
      </c>
      <c r="B4" s="47">
        <v>3</v>
      </c>
      <c r="C4" s="55">
        <v>3</v>
      </c>
      <c r="D4" s="57" t="s">
        <v>14</v>
      </c>
      <c r="E4" s="53" t="s">
        <v>15</v>
      </c>
      <c r="F4" s="33" t="s">
        <v>26</v>
      </c>
      <c r="G4" s="137" t="s">
        <v>27</v>
      </c>
      <c r="H4" s="42" t="s">
        <v>18</v>
      </c>
      <c r="I4" s="51" t="s">
        <v>19</v>
      </c>
      <c r="J4" s="65"/>
      <c r="K4" s="51" t="s">
        <v>20</v>
      </c>
      <c r="L4" s="69"/>
      <c r="M4" s="51"/>
    </row>
    <row r="5" spans="1:13">
      <c r="A5" s="57" t="s">
        <v>28</v>
      </c>
      <c r="B5" s="47">
        <v>3</v>
      </c>
      <c r="C5" s="55">
        <v>3</v>
      </c>
      <c r="D5" s="57" t="s">
        <v>14</v>
      </c>
      <c r="E5" s="105" t="s">
        <v>29</v>
      </c>
      <c r="F5" s="33" t="s">
        <v>30</v>
      </c>
      <c r="G5" s="145" t="s">
        <v>31</v>
      </c>
      <c r="H5" s="43" t="s">
        <v>32</v>
      </c>
      <c r="I5" s="51" t="s">
        <v>33</v>
      </c>
      <c r="J5" s="65"/>
      <c r="K5" s="51" t="s">
        <v>20</v>
      </c>
      <c r="L5" s="69" t="s">
        <v>34</v>
      </c>
      <c r="M5" s="51"/>
    </row>
    <row r="6" spans="1:13">
      <c r="A6" s="57" t="s">
        <v>35</v>
      </c>
      <c r="B6" s="47">
        <v>3</v>
      </c>
      <c r="C6" s="55">
        <v>3</v>
      </c>
      <c r="D6" s="57" t="s">
        <v>14</v>
      </c>
      <c r="E6" s="105" t="s">
        <v>29</v>
      </c>
      <c r="F6" s="33" t="s">
        <v>36</v>
      </c>
      <c r="G6" s="145" t="s">
        <v>37</v>
      </c>
      <c r="H6" s="43" t="s">
        <v>38</v>
      </c>
      <c r="I6" s="51" t="s">
        <v>33</v>
      </c>
      <c r="J6" s="65"/>
      <c r="K6" s="51" t="s">
        <v>20</v>
      </c>
      <c r="L6" s="69" t="s">
        <v>34</v>
      </c>
      <c r="M6" s="51"/>
    </row>
    <row r="7" spans="1:13">
      <c r="A7" s="57" t="s">
        <v>39</v>
      </c>
      <c r="B7" s="47">
        <v>3</v>
      </c>
      <c r="C7" s="55">
        <v>3</v>
      </c>
      <c r="D7" s="57" t="s">
        <v>14</v>
      </c>
      <c r="E7" s="105" t="s">
        <v>29</v>
      </c>
      <c r="F7" s="34" t="s">
        <v>40</v>
      </c>
      <c r="G7" s="131" t="s">
        <v>41</v>
      </c>
      <c r="H7" s="42" t="s">
        <v>18</v>
      </c>
      <c r="I7" s="51" t="s">
        <v>19</v>
      </c>
      <c r="J7" s="65"/>
      <c r="K7" s="51" t="s">
        <v>20</v>
      </c>
      <c r="L7" s="69"/>
      <c r="M7" s="51"/>
    </row>
    <row r="8" spans="1:13">
      <c r="A8" s="57" t="s">
        <v>42</v>
      </c>
      <c r="B8" s="47">
        <v>3</v>
      </c>
      <c r="C8" s="55">
        <v>3</v>
      </c>
      <c r="D8" s="57" t="s">
        <v>14</v>
      </c>
      <c r="E8" s="105" t="s">
        <v>29</v>
      </c>
      <c r="F8" s="33" t="s">
        <v>43</v>
      </c>
      <c r="G8" s="131" t="s">
        <v>44</v>
      </c>
      <c r="H8" s="42" t="s">
        <v>18</v>
      </c>
      <c r="I8" s="51" t="s">
        <v>19</v>
      </c>
      <c r="J8" s="65"/>
      <c r="K8" s="51" t="s">
        <v>20</v>
      </c>
      <c r="L8" s="69"/>
      <c r="M8" s="51"/>
    </row>
    <row r="9" spans="1:13">
      <c r="A9" s="57" t="s">
        <v>45</v>
      </c>
      <c r="B9" s="47">
        <v>3</v>
      </c>
      <c r="C9" s="55">
        <v>3</v>
      </c>
      <c r="D9" s="57" t="s">
        <v>14</v>
      </c>
      <c r="E9" s="53" t="s">
        <v>46</v>
      </c>
      <c r="F9" s="33" t="s">
        <v>47</v>
      </c>
      <c r="G9" s="131" t="s">
        <v>48</v>
      </c>
      <c r="H9" s="42" t="s">
        <v>49</v>
      </c>
      <c r="I9" s="51" t="s">
        <v>19</v>
      </c>
      <c r="J9" s="65"/>
      <c r="K9" s="51" t="s">
        <v>20</v>
      </c>
      <c r="L9" s="69"/>
      <c r="M9" s="51"/>
    </row>
    <row r="10" spans="1:13">
      <c r="A10" s="57" t="s">
        <v>50</v>
      </c>
      <c r="B10" s="47">
        <v>2</v>
      </c>
      <c r="C10" s="55">
        <v>2</v>
      </c>
      <c r="D10" s="57" t="s">
        <v>14</v>
      </c>
      <c r="E10" s="53" t="s">
        <v>46</v>
      </c>
      <c r="F10" s="34" t="s">
        <v>51</v>
      </c>
      <c r="G10" s="131" t="s">
        <v>52</v>
      </c>
      <c r="H10" s="42" t="s">
        <v>18</v>
      </c>
      <c r="I10" s="51" t="s">
        <v>19</v>
      </c>
      <c r="J10" s="65"/>
      <c r="K10" s="51" t="s">
        <v>20</v>
      </c>
      <c r="L10" s="69"/>
      <c r="M10" s="51"/>
    </row>
    <row r="11" spans="1:13">
      <c r="A11" s="57" t="s">
        <v>53</v>
      </c>
      <c r="B11" s="47">
        <v>2</v>
      </c>
      <c r="C11" s="55">
        <v>2</v>
      </c>
      <c r="D11" s="57" t="s">
        <v>14</v>
      </c>
      <c r="E11" s="105" t="s">
        <v>54</v>
      </c>
      <c r="F11" s="35" t="s">
        <v>55</v>
      </c>
      <c r="G11" s="136" t="s">
        <v>56</v>
      </c>
      <c r="H11" s="42" t="s">
        <v>18</v>
      </c>
      <c r="I11" s="51" t="s">
        <v>19</v>
      </c>
      <c r="J11" s="65"/>
      <c r="K11" s="51" t="s">
        <v>20</v>
      </c>
      <c r="L11" s="69"/>
      <c r="M11" s="51" t="s">
        <v>57</v>
      </c>
    </row>
    <row r="12" spans="1:13">
      <c r="A12" s="57" t="s">
        <v>58</v>
      </c>
      <c r="B12" s="47">
        <v>2</v>
      </c>
      <c r="C12" s="55">
        <v>2</v>
      </c>
      <c r="D12" s="57" t="s">
        <v>14</v>
      </c>
      <c r="E12" s="105" t="s">
        <v>54</v>
      </c>
      <c r="F12" s="35" t="s">
        <v>59</v>
      </c>
      <c r="G12" s="136" t="s">
        <v>60</v>
      </c>
      <c r="H12" s="42" t="s">
        <v>18</v>
      </c>
      <c r="I12" s="51" t="s">
        <v>19</v>
      </c>
      <c r="J12" s="65"/>
      <c r="K12" s="51" t="s">
        <v>20</v>
      </c>
      <c r="L12" s="69"/>
      <c r="M12" s="51" t="s">
        <v>57</v>
      </c>
    </row>
    <row r="13" spans="1:13">
      <c r="A13" s="57" t="s">
        <v>61</v>
      </c>
      <c r="B13" s="47">
        <v>1</v>
      </c>
      <c r="C13" s="55">
        <v>1</v>
      </c>
      <c r="D13" s="57" t="s">
        <v>14</v>
      </c>
      <c r="E13" s="105" t="s">
        <v>54</v>
      </c>
      <c r="F13" s="33" t="s">
        <v>62</v>
      </c>
      <c r="G13" s="149" t="s">
        <v>63</v>
      </c>
      <c r="H13" s="43" t="s">
        <v>32</v>
      </c>
      <c r="I13" s="51" t="s">
        <v>33</v>
      </c>
      <c r="J13" s="65"/>
      <c r="K13" s="51" t="s">
        <v>20</v>
      </c>
      <c r="L13" s="69" t="s">
        <v>34</v>
      </c>
      <c r="M13" s="51"/>
    </row>
    <row r="14" spans="1:13">
      <c r="A14" s="57" t="s">
        <v>64</v>
      </c>
      <c r="B14" s="47">
        <v>1</v>
      </c>
      <c r="C14" s="55">
        <v>1</v>
      </c>
      <c r="D14" s="57" t="s">
        <v>14</v>
      </c>
      <c r="E14" s="105" t="s">
        <v>54</v>
      </c>
      <c r="F14" s="33" t="s">
        <v>65</v>
      </c>
      <c r="G14" s="149" t="s">
        <v>66</v>
      </c>
      <c r="H14" s="43" t="s">
        <v>32</v>
      </c>
      <c r="I14" s="51" t="s">
        <v>33</v>
      </c>
      <c r="J14" s="65"/>
      <c r="K14" s="51" t="s">
        <v>20</v>
      </c>
      <c r="L14" s="69" t="s">
        <v>34</v>
      </c>
      <c r="M14" s="51"/>
    </row>
    <row r="15" spans="1:13">
      <c r="A15" s="57" t="s">
        <v>67</v>
      </c>
      <c r="B15" s="47">
        <v>2</v>
      </c>
      <c r="C15" s="55">
        <v>2</v>
      </c>
      <c r="D15" s="57" t="s">
        <v>14</v>
      </c>
      <c r="E15" s="105" t="s">
        <v>54</v>
      </c>
      <c r="F15" s="35" t="s">
        <v>68</v>
      </c>
      <c r="G15" s="136" t="s">
        <v>69</v>
      </c>
      <c r="H15" s="42" t="s">
        <v>18</v>
      </c>
      <c r="I15" s="51" t="s">
        <v>19</v>
      </c>
      <c r="J15" s="65"/>
      <c r="K15" s="51" t="s">
        <v>20</v>
      </c>
      <c r="L15" s="69"/>
      <c r="M15" s="51" t="s">
        <v>57</v>
      </c>
    </row>
    <row r="16" spans="1:13">
      <c r="A16" s="57" t="s">
        <v>70</v>
      </c>
      <c r="B16" s="47">
        <v>3</v>
      </c>
      <c r="C16" s="55">
        <v>3</v>
      </c>
      <c r="D16" s="57" t="s">
        <v>14</v>
      </c>
      <c r="E16" s="105" t="s">
        <v>54</v>
      </c>
      <c r="F16" s="35" t="s">
        <v>71</v>
      </c>
      <c r="G16" s="235" t="s">
        <v>72</v>
      </c>
      <c r="H16" s="42" t="s">
        <v>18</v>
      </c>
      <c r="I16" s="51" t="s">
        <v>19</v>
      </c>
      <c r="J16" s="65"/>
      <c r="K16" s="51" t="s">
        <v>20</v>
      </c>
      <c r="L16" s="69"/>
      <c r="M16" s="51" t="s">
        <v>57</v>
      </c>
    </row>
    <row r="17" spans="1:13">
      <c r="A17" s="57" t="s">
        <v>73</v>
      </c>
      <c r="B17" s="47">
        <v>3</v>
      </c>
      <c r="C17" s="55">
        <v>3</v>
      </c>
      <c r="D17" s="57" t="s">
        <v>14</v>
      </c>
      <c r="E17" s="53" t="s">
        <v>74</v>
      </c>
      <c r="F17" s="33" t="s">
        <v>75</v>
      </c>
      <c r="G17" s="150" t="s">
        <v>76</v>
      </c>
      <c r="H17" s="43" t="s">
        <v>77</v>
      </c>
      <c r="I17" s="51" t="s">
        <v>33</v>
      </c>
      <c r="J17" s="65"/>
      <c r="K17" s="51" t="s">
        <v>20</v>
      </c>
      <c r="L17" s="69" t="s">
        <v>34</v>
      </c>
      <c r="M17" s="51"/>
    </row>
    <row r="18" spans="1:13">
      <c r="A18" s="57" t="s">
        <v>78</v>
      </c>
      <c r="B18" s="47">
        <v>3</v>
      </c>
      <c r="C18" s="55">
        <v>3</v>
      </c>
      <c r="D18" s="57" t="s">
        <v>14</v>
      </c>
      <c r="E18" s="53" t="s">
        <v>74</v>
      </c>
      <c r="F18" s="33" t="s">
        <v>79</v>
      </c>
      <c r="G18" s="131" t="s">
        <v>80</v>
      </c>
      <c r="H18" s="42" t="s">
        <v>18</v>
      </c>
      <c r="I18" s="51" t="s">
        <v>19</v>
      </c>
      <c r="J18" s="65"/>
      <c r="K18" s="51" t="s">
        <v>20</v>
      </c>
      <c r="L18" s="69"/>
      <c r="M18" s="51"/>
    </row>
    <row r="19" spans="1:13">
      <c r="A19" s="57" t="s">
        <v>81</v>
      </c>
      <c r="B19" s="47">
        <v>3</v>
      </c>
      <c r="C19" s="55">
        <v>3</v>
      </c>
      <c r="D19" s="57" t="s">
        <v>14</v>
      </c>
      <c r="E19" s="53" t="s">
        <v>74</v>
      </c>
      <c r="F19" s="33" t="s">
        <v>82</v>
      </c>
      <c r="G19" s="131" t="s">
        <v>83</v>
      </c>
      <c r="H19" s="42" t="s">
        <v>18</v>
      </c>
      <c r="I19" s="51" t="s">
        <v>19</v>
      </c>
      <c r="J19" s="65"/>
      <c r="K19" s="51" t="s">
        <v>20</v>
      </c>
      <c r="L19" s="69"/>
      <c r="M19" s="51"/>
    </row>
    <row r="20" spans="1:13">
      <c r="A20" s="57" t="s">
        <v>84</v>
      </c>
      <c r="B20" s="47">
        <v>3</v>
      </c>
      <c r="C20" s="55">
        <v>3</v>
      </c>
      <c r="D20" s="57" t="s">
        <v>14</v>
      </c>
      <c r="E20" s="105" t="s">
        <v>85</v>
      </c>
      <c r="F20" s="33" t="s">
        <v>86</v>
      </c>
      <c r="G20" s="131" t="s">
        <v>87</v>
      </c>
      <c r="H20" s="42" t="s">
        <v>18</v>
      </c>
      <c r="I20" s="51" t="s">
        <v>19</v>
      </c>
      <c r="J20" s="65"/>
      <c r="K20" s="51" t="s">
        <v>88</v>
      </c>
      <c r="L20" s="69"/>
      <c r="M20" s="51"/>
    </row>
    <row r="21" spans="1:13">
      <c r="A21" s="57" t="s">
        <v>89</v>
      </c>
      <c r="B21" s="47">
        <v>3</v>
      </c>
      <c r="C21" s="55">
        <v>3</v>
      </c>
      <c r="D21" s="57" t="s">
        <v>14</v>
      </c>
      <c r="E21" s="105" t="s">
        <v>85</v>
      </c>
      <c r="F21" s="33" t="s">
        <v>86</v>
      </c>
      <c r="G21" s="131" t="s">
        <v>90</v>
      </c>
      <c r="H21" s="42" t="s">
        <v>18</v>
      </c>
      <c r="I21" s="51" t="s">
        <v>19</v>
      </c>
      <c r="J21" s="65"/>
      <c r="K21" s="51" t="s">
        <v>88</v>
      </c>
      <c r="L21" s="69"/>
      <c r="M21" s="51"/>
    </row>
    <row r="22" spans="1:13">
      <c r="A22" s="57" t="s">
        <v>91</v>
      </c>
      <c r="B22" s="47">
        <v>3</v>
      </c>
      <c r="C22" s="55">
        <v>3</v>
      </c>
      <c r="D22" s="57" t="s">
        <v>14</v>
      </c>
      <c r="E22" s="105" t="s">
        <v>85</v>
      </c>
      <c r="F22" s="33" t="s">
        <v>92</v>
      </c>
      <c r="G22" s="131" t="s">
        <v>93</v>
      </c>
      <c r="H22" s="42" t="s">
        <v>94</v>
      </c>
      <c r="I22" s="51" t="s">
        <v>19</v>
      </c>
      <c r="J22" s="65"/>
      <c r="K22" s="51" t="s">
        <v>20</v>
      </c>
      <c r="L22" s="69"/>
      <c r="M22" s="51"/>
    </row>
    <row r="23" spans="1:13">
      <c r="A23" s="57" t="s">
        <v>95</v>
      </c>
      <c r="B23" s="47">
        <v>3</v>
      </c>
      <c r="C23" s="55">
        <v>3</v>
      </c>
      <c r="D23" s="57" t="s">
        <v>14</v>
      </c>
      <c r="E23" s="105" t="s">
        <v>85</v>
      </c>
      <c r="F23" s="33" t="s">
        <v>92</v>
      </c>
      <c r="G23" s="131" t="s">
        <v>96</v>
      </c>
      <c r="H23" s="42" t="s">
        <v>97</v>
      </c>
      <c r="I23" s="51" t="s">
        <v>19</v>
      </c>
      <c r="J23" s="65"/>
      <c r="K23" s="51"/>
      <c r="L23" s="69"/>
      <c r="M23" s="51"/>
    </row>
    <row r="24" spans="1:13">
      <c r="A24" s="57" t="s">
        <v>98</v>
      </c>
      <c r="B24" s="47">
        <v>3</v>
      </c>
      <c r="C24" s="55">
        <v>3</v>
      </c>
      <c r="D24" s="57" t="s">
        <v>14</v>
      </c>
      <c r="E24" s="105" t="s">
        <v>85</v>
      </c>
      <c r="F24" s="33" t="s">
        <v>92</v>
      </c>
      <c r="G24" s="131" t="s">
        <v>99</v>
      </c>
      <c r="H24" s="42" t="s">
        <v>94</v>
      </c>
      <c r="I24" s="51" t="s">
        <v>19</v>
      </c>
      <c r="J24" s="65"/>
      <c r="K24" s="51"/>
      <c r="L24" s="69"/>
      <c r="M24" s="51"/>
    </row>
    <row r="25" spans="1:13">
      <c r="A25" s="57" t="s">
        <v>100</v>
      </c>
      <c r="B25" s="47">
        <v>3</v>
      </c>
      <c r="C25" s="55">
        <v>3</v>
      </c>
      <c r="D25" s="57" t="s">
        <v>14</v>
      </c>
      <c r="E25" s="105" t="s">
        <v>85</v>
      </c>
      <c r="F25" s="33" t="s">
        <v>92</v>
      </c>
      <c r="G25" s="150" t="s">
        <v>101</v>
      </c>
      <c r="H25" s="43" t="s">
        <v>102</v>
      </c>
      <c r="I25" s="51" t="s">
        <v>19</v>
      </c>
      <c r="J25" s="65"/>
      <c r="K25" s="51"/>
      <c r="L25" s="69"/>
      <c r="M25" s="51"/>
    </row>
    <row r="26" spans="1:13">
      <c r="A26" s="57" t="s">
        <v>103</v>
      </c>
      <c r="B26" s="47">
        <v>2</v>
      </c>
      <c r="C26" s="55">
        <v>3</v>
      </c>
      <c r="D26" s="57" t="s">
        <v>14</v>
      </c>
      <c r="E26" s="105" t="s">
        <v>104</v>
      </c>
      <c r="F26" s="33" t="s">
        <v>105</v>
      </c>
      <c r="G26" s="150" t="s">
        <v>106</v>
      </c>
      <c r="H26" s="42" t="s">
        <v>18</v>
      </c>
      <c r="I26" s="51" t="s">
        <v>33</v>
      </c>
      <c r="J26" s="65"/>
      <c r="K26" s="51" t="s">
        <v>20</v>
      </c>
      <c r="L26" s="69" t="s">
        <v>34</v>
      </c>
      <c r="M26" s="51"/>
    </row>
    <row r="27" spans="1:13">
      <c r="A27" s="57" t="s">
        <v>107</v>
      </c>
      <c r="B27" s="47">
        <v>3</v>
      </c>
      <c r="C27" s="55">
        <v>3</v>
      </c>
      <c r="D27" s="57" t="s">
        <v>14</v>
      </c>
      <c r="E27" s="105" t="s">
        <v>104</v>
      </c>
      <c r="F27" s="33" t="s">
        <v>108</v>
      </c>
      <c r="G27" s="149" t="s">
        <v>109</v>
      </c>
      <c r="H27" s="44" t="s">
        <v>110</v>
      </c>
      <c r="I27" s="51" t="s">
        <v>33</v>
      </c>
      <c r="J27" s="65"/>
      <c r="K27" s="51" t="s">
        <v>20</v>
      </c>
      <c r="L27" s="69" t="s">
        <v>34</v>
      </c>
      <c r="M27" s="51"/>
    </row>
    <row r="28" spans="1:13">
      <c r="A28" s="57" t="s">
        <v>111</v>
      </c>
      <c r="B28" s="47">
        <v>3</v>
      </c>
      <c r="C28" s="55">
        <v>3</v>
      </c>
      <c r="D28" s="57" t="s">
        <v>14</v>
      </c>
      <c r="E28" s="105" t="s">
        <v>104</v>
      </c>
      <c r="F28" s="33" t="s">
        <v>112</v>
      </c>
      <c r="G28" s="150" t="s">
        <v>113</v>
      </c>
      <c r="H28" s="42" t="s">
        <v>18</v>
      </c>
      <c r="I28" s="51" t="s">
        <v>33</v>
      </c>
      <c r="J28" s="65"/>
      <c r="K28" s="51" t="s">
        <v>88</v>
      </c>
      <c r="L28" s="69" t="s">
        <v>34</v>
      </c>
      <c r="M28" s="51"/>
    </row>
    <row r="29" spans="1:13">
      <c r="A29" s="57" t="s">
        <v>114</v>
      </c>
      <c r="B29" s="47">
        <v>3</v>
      </c>
      <c r="C29" s="55">
        <v>3</v>
      </c>
      <c r="D29" s="57" t="s">
        <v>14</v>
      </c>
      <c r="E29" s="105" t="s">
        <v>104</v>
      </c>
      <c r="F29" s="33" t="s">
        <v>115</v>
      </c>
      <c r="G29" s="150" t="s">
        <v>116</v>
      </c>
      <c r="H29" s="43" t="s">
        <v>117</v>
      </c>
      <c r="I29" s="51" t="s">
        <v>33</v>
      </c>
      <c r="J29" s="65"/>
      <c r="K29" s="51" t="s">
        <v>88</v>
      </c>
      <c r="L29" s="69" t="s">
        <v>34</v>
      </c>
      <c r="M29" s="51"/>
    </row>
    <row r="30" spans="1:13">
      <c r="A30" s="57" t="s">
        <v>118</v>
      </c>
      <c r="B30" s="47">
        <v>2</v>
      </c>
      <c r="C30" s="55">
        <v>3</v>
      </c>
      <c r="D30" s="57" t="s">
        <v>14</v>
      </c>
      <c r="E30" s="105" t="s">
        <v>119</v>
      </c>
      <c r="F30" s="33" t="s">
        <v>120</v>
      </c>
      <c r="G30" s="150" t="s">
        <v>121</v>
      </c>
      <c r="H30" s="43" t="s">
        <v>122</v>
      </c>
      <c r="I30" s="51" t="s">
        <v>33</v>
      </c>
      <c r="J30" s="65"/>
      <c r="K30" s="51" t="s">
        <v>123</v>
      </c>
      <c r="L30" s="69" t="s">
        <v>34</v>
      </c>
      <c r="M30" s="51"/>
    </row>
    <row r="31" spans="1:13">
      <c r="A31" s="57" t="s">
        <v>124</v>
      </c>
      <c r="B31" s="47">
        <v>2</v>
      </c>
      <c r="C31" s="55">
        <v>3</v>
      </c>
      <c r="D31" s="57" t="s">
        <v>14</v>
      </c>
      <c r="E31" s="105" t="s">
        <v>119</v>
      </c>
      <c r="F31" s="33" t="s">
        <v>125</v>
      </c>
      <c r="G31" s="150" t="s">
        <v>126</v>
      </c>
      <c r="H31" s="43" t="s">
        <v>127</v>
      </c>
      <c r="I31" s="51" t="s">
        <v>33</v>
      </c>
      <c r="J31" s="65"/>
      <c r="K31" s="51" t="s">
        <v>123</v>
      </c>
      <c r="L31" s="69" t="s">
        <v>34</v>
      </c>
      <c r="M31" s="51"/>
    </row>
    <row r="32" spans="1:13">
      <c r="A32" s="57" t="s">
        <v>128</v>
      </c>
      <c r="B32" s="47">
        <v>2</v>
      </c>
      <c r="C32" s="55">
        <v>2</v>
      </c>
      <c r="D32" s="57" t="s">
        <v>14</v>
      </c>
      <c r="E32" s="105" t="s">
        <v>119</v>
      </c>
      <c r="F32" s="33" t="s">
        <v>129</v>
      </c>
      <c r="G32" s="150" t="s">
        <v>130</v>
      </c>
      <c r="H32" s="43" t="s">
        <v>131</v>
      </c>
      <c r="I32" s="51" t="s">
        <v>33</v>
      </c>
      <c r="J32" s="65"/>
      <c r="K32" s="51" t="s">
        <v>123</v>
      </c>
      <c r="L32" s="69" t="s">
        <v>34</v>
      </c>
      <c r="M32" s="51"/>
    </row>
    <row r="33" spans="1:13">
      <c r="A33" s="57" t="s">
        <v>132</v>
      </c>
      <c r="B33" s="47">
        <v>2</v>
      </c>
      <c r="C33" s="55">
        <v>2</v>
      </c>
      <c r="D33" s="57" t="s">
        <v>14</v>
      </c>
      <c r="E33" s="105" t="s">
        <v>119</v>
      </c>
      <c r="F33" s="33" t="s">
        <v>133</v>
      </c>
      <c r="G33" s="150" t="s">
        <v>134</v>
      </c>
      <c r="H33" s="43" t="s">
        <v>135</v>
      </c>
      <c r="I33" s="51" t="s">
        <v>33</v>
      </c>
      <c r="J33" s="65"/>
      <c r="K33" s="51" t="s">
        <v>123</v>
      </c>
      <c r="L33" s="69" t="s">
        <v>34</v>
      </c>
      <c r="M33" s="51"/>
    </row>
    <row r="34" spans="1:13">
      <c r="A34" s="57" t="s">
        <v>136</v>
      </c>
      <c r="B34" s="47">
        <v>1</v>
      </c>
      <c r="C34" s="55">
        <v>1</v>
      </c>
      <c r="D34" s="57" t="s">
        <v>14</v>
      </c>
      <c r="E34" s="105" t="s">
        <v>137</v>
      </c>
      <c r="F34" s="33" t="s">
        <v>138</v>
      </c>
      <c r="G34" s="150" t="s">
        <v>139</v>
      </c>
      <c r="H34" s="43" t="s">
        <v>140</v>
      </c>
      <c r="I34" s="51" t="s">
        <v>33</v>
      </c>
      <c r="J34" s="65"/>
      <c r="K34" s="51" t="s">
        <v>88</v>
      </c>
      <c r="L34" s="69" t="s">
        <v>34</v>
      </c>
      <c r="M34" s="51"/>
    </row>
    <row r="35" spans="1:13">
      <c r="A35" s="57" t="s">
        <v>141</v>
      </c>
      <c r="B35" s="47">
        <v>2</v>
      </c>
      <c r="C35" s="55">
        <v>2</v>
      </c>
      <c r="D35" s="57" t="s">
        <v>14</v>
      </c>
      <c r="E35" s="105" t="s">
        <v>137</v>
      </c>
      <c r="F35" s="33" t="s">
        <v>142</v>
      </c>
      <c r="G35" s="150" t="s">
        <v>143</v>
      </c>
      <c r="H35" s="43" t="s">
        <v>144</v>
      </c>
      <c r="I35" s="51" t="s">
        <v>33</v>
      </c>
      <c r="J35" s="65"/>
      <c r="K35" s="51" t="s">
        <v>88</v>
      </c>
      <c r="L35" s="69" t="s">
        <v>34</v>
      </c>
      <c r="M35" s="51"/>
    </row>
    <row r="36" spans="1:13">
      <c r="A36" s="57" t="s">
        <v>145</v>
      </c>
      <c r="B36" s="47">
        <v>3</v>
      </c>
      <c r="C36" s="55">
        <v>3</v>
      </c>
      <c r="D36" s="57" t="s">
        <v>14</v>
      </c>
      <c r="E36" s="53" t="s">
        <v>146</v>
      </c>
      <c r="F36" s="33" t="s">
        <v>147</v>
      </c>
      <c r="G36" s="131" t="s">
        <v>148</v>
      </c>
      <c r="H36" s="42" t="s">
        <v>18</v>
      </c>
      <c r="I36" s="51" t="s">
        <v>19</v>
      </c>
      <c r="J36" s="65"/>
      <c r="K36" s="51" t="s">
        <v>20</v>
      </c>
      <c r="L36" s="69"/>
      <c r="M36" s="51"/>
    </row>
    <row r="37" spans="1:13">
      <c r="A37" s="57" t="s">
        <v>149</v>
      </c>
      <c r="B37" s="47">
        <v>3</v>
      </c>
      <c r="C37" s="55">
        <v>3</v>
      </c>
      <c r="D37" s="57" t="s">
        <v>14</v>
      </c>
      <c r="E37" s="53" t="s">
        <v>146</v>
      </c>
      <c r="F37" s="33" t="s">
        <v>150</v>
      </c>
      <c r="G37" s="131" t="s">
        <v>151</v>
      </c>
      <c r="H37" s="42" t="s">
        <v>18</v>
      </c>
      <c r="I37" s="51" t="s">
        <v>19</v>
      </c>
      <c r="J37" s="65"/>
      <c r="K37" s="51" t="s">
        <v>20</v>
      </c>
      <c r="L37" s="69"/>
      <c r="M37" s="51"/>
    </row>
    <row r="38" spans="1:13">
      <c r="A38" s="57" t="s">
        <v>152</v>
      </c>
      <c r="B38" s="47">
        <v>1</v>
      </c>
      <c r="C38" s="55">
        <v>1</v>
      </c>
      <c r="D38" s="57" t="s">
        <v>153</v>
      </c>
      <c r="E38" s="53" t="s">
        <v>154</v>
      </c>
      <c r="F38" s="34" t="s">
        <v>155</v>
      </c>
      <c r="G38" s="151" t="s">
        <v>156</v>
      </c>
      <c r="H38" s="44" t="s">
        <v>157</v>
      </c>
      <c r="I38" s="51" t="s">
        <v>33</v>
      </c>
      <c r="J38" s="65" t="s">
        <v>158</v>
      </c>
      <c r="K38" s="51" t="s">
        <v>20</v>
      </c>
      <c r="L38" s="69"/>
      <c r="M38" s="51" t="s">
        <v>159</v>
      </c>
    </row>
    <row r="39" spans="1:13">
      <c r="A39" s="57" t="s">
        <v>160</v>
      </c>
      <c r="B39" s="47">
        <v>3</v>
      </c>
      <c r="C39" s="55">
        <v>3</v>
      </c>
      <c r="D39" s="57" t="s">
        <v>161</v>
      </c>
      <c r="E39" s="53" t="s">
        <v>162</v>
      </c>
      <c r="F39" s="36" t="s">
        <v>163</v>
      </c>
      <c r="G39" s="152" t="s">
        <v>164</v>
      </c>
      <c r="H39" s="43" t="s">
        <v>165</v>
      </c>
      <c r="I39" s="51" t="s">
        <v>33</v>
      </c>
      <c r="J39" s="65"/>
      <c r="K39" s="51" t="s">
        <v>20</v>
      </c>
      <c r="L39" s="69" t="s">
        <v>34</v>
      </c>
      <c r="M39" s="51" t="s">
        <v>166</v>
      </c>
    </row>
    <row r="40" spans="1:13">
      <c r="A40" s="57" t="s">
        <v>167</v>
      </c>
      <c r="B40" s="47">
        <v>1</v>
      </c>
      <c r="C40" s="55">
        <v>1</v>
      </c>
      <c r="D40" s="57" t="s">
        <v>161</v>
      </c>
      <c r="E40" s="53" t="s">
        <v>162</v>
      </c>
      <c r="F40" s="36" t="s">
        <v>168</v>
      </c>
      <c r="G40" s="145" t="s">
        <v>169</v>
      </c>
      <c r="H40" s="43" t="s">
        <v>18</v>
      </c>
      <c r="I40" s="51" t="s">
        <v>33</v>
      </c>
      <c r="J40" s="65"/>
      <c r="K40" s="51" t="s">
        <v>20</v>
      </c>
      <c r="L40" s="69" t="s">
        <v>34</v>
      </c>
      <c r="M40" s="51" t="s">
        <v>166</v>
      </c>
    </row>
    <row r="41" spans="1:13">
      <c r="A41" s="57" t="s">
        <v>170</v>
      </c>
      <c r="B41" s="47">
        <v>2</v>
      </c>
      <c r="C41" s="55">
        <v>2</v>
      </c>
      <c r="D41" s="57" t="s">
        <v>161</v>
      </c>
      <c r="E41" s="53" t="s">
        <v>162</v>
      </c>
      <c r="F41" s="36" t="s">
        <v>171</v>
      </c>
      <c r="G41" s="145" t="s">
        <v>172</v>
      </c>
      <c r="H41" s="43" t="s">
        <v>173</v>
      </c>
      <c r="I41" s="51" t="s">
        <v>33</v>
      </c>
      <c r="J41" s="65" t="s">
        <v>174</v>
      </c>
      <c r="K41" s="51" t="s">
        <v>20</v>
      </c>
      <c r="L41" s="69" t="s">
        <v>34</v>
      </c>
      <c r="M41" s="51" t="s">
        <v>166</v>
      </c>
    </row>
    <row r="42" spans="1:13" ht="16" customHeight="1">
      <c r="A42" s="57" t="s">
        <v>175</v>
      </c>
      <c r="B42" s="47"/>
      <c r="C42" s="55">
        <v>2</v>
      </c>
      <c r="D42" s="57" t="s">
        <v>161</v>
      </c>
      <c r="E42" s="53" t="s">
        <v>162</v>
      </c>
      <c r="F42" s="36" t="s">
        <v>176</v>
      </c>
      <c r="G42" s="130" t="s">
        <v>177</v>
      </c>
      <c r="H42" s="43" t="s">
        <v>173</v>
      </c>
      <c r="I42" s="51" t="s">
        <v>33</v>
      </c>
      <c r="J42" s="65" t="s">
        <v>178</v>
      </c>
      <c r="K42" s="51" t="s">
        <v>20</v>
      </c>
      <c r="L42" s="70"/>
      <c r="M42" s="51" t="s">
        <v>179</v>
      </c>
    </row>
    <row r="43" spans="1:13" ht="16" customHeight="1">
      <c r="A43" s="57" t="s">
        <v>180</v>
      </c>
      <c r="B43" s="47">
        <v>2</v>
      </c>
      <c r="C43" s="55">
        <v>2</v>
      </c>
      <c r="D43" s="57" t="s">
        <v>161</v>
      </c>
      <c r="E43" s="53" t="s">
        <v>162</v>
      </c>
      <c r="F43" s="24" t="s">
        <v>181</v>
      </c>
      <c r="G43" s="128" t="s">
        <v>182</v>
      </c>
      <c r="H43" s="45" t="s">
        <v>183</v>
      </c>
      <c r="I43" s="51" t="s">
        <v>33</v>
      </c>
      <c r="J43" s="65"/>
      <c r="K43" s="51" t="s">
        <v>20</v>
      </c>
      <c r="L43" s="70"/>
      <c r="M43" s="51"/>
    </row>
    <row r="44" spans="1:13" ht="16" customHeight="1">
      <c r="A44" s="57" t="s">
        <v>184</v>
      </c>
      <c r="B44" s="47">
        <v>2</v>
      </c>
      <c r="C44" s="55">
        <v>2</v>
      </c>
      <c r="D44" s="57" t="s">
        <v>161</v>
      </c>
      <c r="E44" s="53" t="s">
        <v>162</v>
      </c>
      <c r="F44" s="24" t="s">
        <v>185</v>
      </c>
      <c r="G44" s="153" t="s">
        <v>186</v>
      </c>
      <c r="H44" s="43" t="s">
        <v>18</v>
      </c>
      <c r="I44" s="51" t="s">
        <v>33</v>
      </c>
      <c r="J44" s="65"/>
      <c r="K44" s="51" t="s">
        <v>20</v>
      </c>
      <c r="L44" s="69" t="s">
        <v>34</v>
      </c>
      <c r="M44" s="51" t="s">
        <v>166</v>
      </c>
    </row>
    <row r="45" spans="1:13" ht="16" customHeight="1">
      <c r="A45" s="57" t="s">
        <v>187</v>
      </c>
      <c r="B45" s="47">
        <v>1</v>
      </c>
      <c r="C45" s="55">
        <v>1</v>
      </c>
      <c r="D45" s="59" t="s">
        <v>161</v>
      </c>
      <c r="E45" s="53" t="s">
        <v>162</v>
      </c>
      <c r="F45" s="30" t="s">
        <v>188</v>
      </c>
      <c r="G45" s="128" t="s">
        <v>189</v>
      </c>
      <c r="H45" s="42" t="s">
        <v>190</v>
      </c>
      <c r="I45" s="51" t="s">
        <v>19</v>
      </c>
      <c r="J45" s="65"/>
      <c r="K45" s="51" t="s">
        <v>20</v>
      </c>
      <c r="L45" s="70"/>
      <c r="M45" s="57" t="s">
        <v>191</v>
      </c>
    </row>
    <row r="46" spans="1:13">
      <c r="A46" s="57" t="s">
        <v>192</v>
      </c>
      <c r="B46" s="47">
        <v>1</v>
      </c>
      <c r="C46" s="55">
        <v>1</v>
      </c>
      <c r="D46" s="57" t="s">
        <v>161</v>
      </c>
      <c r="E46" s="53" t="s">
        <v>193</v>
      </c>
      <c r="F46" s="50" t="s">
        <v>194</v>
      </c>
      <c r="G46" s="151" t="s">
        <v>195</v>
      </c>
      <c r="H46" s="45" t="s">
        <v>196</v>
      </c>
      <c r="I46" s="51" t="s">
        <v>33</v>
      </c>
      <c r="J46" s="65" t="s">
        <v>197</v>
      </c>
      <c r="K46" s="51" t="s">
        <v>20</v>
      </c>
      <c r="L46" s="69" t="s">
        <v>34</v>
      </c>
      <c r="M46" s="51" t="s">
        <v>166</v>
      </c>
    </row>
    <row r="47" spans="1:13">
      <c r="A47" s="57" t="s">
        <v>198</v>
      </c>
      <c r="B47" s="47">
        <v>2</v>
      </c>
      <c r="C47" s="55">
        <v>2</v>
      </c>
      <c r="D47" s="57" t="s">
        <v>161</v>
      </c>
      <c r="E47" s="53" t="s">
        <v>193</v>
      </c>
      <c r="F47" s="50" t="s">
        <v>199</v>
      </c>
      <c r="G47" s="151" t="s">
        <v>200</v>
      </c>
      <c r="H47" s="43" t="s">
        <v>18</v>
      </c>
      <c r="I47" s="51" t="s">
        <v>33</v>
      </c>
      <c r="J47" s="65"/>
      <c r="K47" s="51" t="s">
        <v>20</v>
      </c>
      <c r="L47" s="69" t="s">
        <v>34</v>
      </c>
      <c r="M47" s="51" t="s">
        <v>166</v>
      </c>
    </row>
    <row r="48" spans="1:13">
      <c r="A48" s="57" t="s">
        <v>201</v>
      </c>
      <c r="B48" s="47">
        <v>2</v>
      </c>
      <c r="C48" s="55">
        <v>2</v>
      </c>
      <c r="D48" s="57" t="s">
        <v>161</v>
      </c>
      <c r="E48" s="53" t="s">
        <v>193</v>
      </c>
      <c r="F48" s="50" t="s">
        <v>202</v>
      </c>
      <c r="G48" s="151" t="s">
        <v>203</v>
      </c>
      <c r="H48" s="45" t="s">
        <v>204</v>
      </c>
      <c r="I48" s="51" t="s">
        <v>33</v>
      </c>
      <c r="J48" s="65"/>
      <c r="K48" s="51" t="s">
        <v>20</v>
      </c>
      <c r="L48" s="69" t="s">
        <v>34</v>
      </c>
      <c r="M48" s="51" t="s">
        <v>166</v>
      </c>
    </row>
    <row r="49" spans="1:13" ht="16" customHeight="1">
      <c r="A49" s="57" t="s">
        <v>205</v>
      </c>
      <c r="B49" s="47">
        <v>1</v>
      </c>
      <c r="C49" s="55">
        <v>1</v>
      </c>
      <c r="D49" s="59" t="s">
        <v>161</v>
      </c>
      <c r="E49" s="53" t="s">
        <v>193</v>
      </c>
      <c r="F49" s="35" t="s">
        <v>206</v>
      </c>
      <c r="G49" s="133" t="s">
        <v>207</v>
      </c>
      <c r="H49" s="42" t="s">
        <v>208</v>
      </c>
      <c r="I49" s="51" t="s">
        <v>33</v>
      </c>
      <c r="J49" s="65"/>
      <c r="K49" s="51"/>
      <c r="L49" s="70"/>
      <c r="M49" s="51" t="s">
        <v>57</v>
      </c>
    </row>
    <row r="50" spans="1:13">
      <c r="A50" s="57" t="s">
        <v>209</v>
      </c>
      <c r="B50" s="47">
        <v>1</v>
      </c>
      <c r="C50" s="55">
        <v>1</v>
      </c>
      <c r="D50" s="59" t="s">
        <v>161</v>
      </c>
      <c r="E50" s="53" t="s">
        <v>193</v>
      </c>
      <c r="F50" s="35" t="s">
        <v>210</v>
      </c>
      <c r="G50" s="133" t="s">
        <v>211</v>
      </c>
      <c r="H50" s="42" t="s">
        <v>208</v>
      </c>
      <c r="I50" s="51" t="s">
        <v>33</v>
      </c>
      <c r="J50" s="65"/>
      <c r="K50" s="51"/>
      <c r="L50" s="70"/>
      <c r="M50" s="51" t="s">
        <v>57</v>
      </c>
    </row>
    <row r="51" spans="1:13">
      <c r="A51" s="57" t="s">
        <v>212</v>
      </c>
      <c r="B51" s="47"/>
      <c r="C51" s="55">
        <v>3</v>
      </c>
      <c r="D51" s="59" t="s">
        <v>161</v>
      </c>
      <c r="E51" s="53" t="s">
        <v>213</v>
      </c>
      <c r="F51" s="39" t="s">
        <v>214</v>
      </c>
      <c r="G51" s="137" t="s">
        <v>215</v>
      </c>
      <c r="H51" s="42" t="s">
        <v>18</v>
      </c>
      <c r="I51" s="51" t="s">
        <v>33</v>
      </c>
      <c r="J51" s="65"/>
      <c r="K51" s="51" t="s">
        <v>20</v>
      </c>
      <c r="L51" s="70"/>
      <c r="M51" s="62"/>
    </row>
    <row r="52" spans="1:13">
      <c r="A52" s="57" t="s">
        <v>216</v>
      </c>
      <c r="B52" s="47">
        <v>1</v>
      </c>
      <c r="C52" s="55">
        <v>1</v>
      </c>
      <c r="D52" s="57" t="s">
        <v>161</v>
      </c>
      <c r="E52" s="53" t="s">
        <v>217</v>
      </c>
      <c r="F52" s="112" t="s">
        <v>218</v>
      </c>
      <c r="G52" s="131" t="s">
        <v>219</v>
      </c>
      <c r="H52" s="42" t="s">
        <v>18</v>
      </c>
      <c r="I52" s="51" t="s">
        <v>33</v>
      </c>
      <c r="J52" s="65"/>
      <c r="K52" s="51" t="s">
        <v>20</v>
      </c>
      <c r="L52" s="70"/>
      <c r="M52" s="51" t="s">
        <v>166</v>
      </c>
    </row>
    <row r="53" spans="1:13">
      <c r="A53" s="57" t="s">
        <v>220</v>
      </c>
      <c r="B53" s="47"/>
      <c r="C53" s="55">
        <v>2</v>
      </c>
      <c r="D53" s="57" t="s">
        <v>161</v>
      </c>
      <c r="E53" s="53" t="s">
        <v>217</v>
      </c>
      <c r="F53" s="40" t="s">
        <v>221</v>
      </c>
      <c r="G53" s="133" t="s">
        <v>222</v>
      </c>
      <c r="H53" s="42" t="s">
        <v>18</v>
      </c>
      <c r="I53" s="51" t="s">
        <v>33</v>
      </c>
      <c r="J53" s="65"/>
      <c r="K53" s="51" t="s">
        <v>20</v>
      </c>
      <c r="L53" s="70"/>
      <c r="M53" s="51" t="s">
        <v>57</v>
      </c>
    </row>
    <row r="54" spans="1:13">
      <c r="A54" s="57" t="s">
        <v>223</v>
      </c>
      <c r="B54" s="47">
        <v>1</v>
      </c>
      <c r="C54" s="55">
        <v>1</v>
      </c>
      <c r="D54" s="59" t="s">
        <v>161</v>
      </c>
      <c r="E54" s="53" t="s">
        <v>85</v>
      </c>
      <c r="F54" s="35" t="s">
        <v>224</v>
      </c>
      <c r="G54" s="154" t="s">
        <v>225</v>
      </c>
      <c r="H54" s="42" t="s">
        <v>226</v>
      </c>
      <c r="I54" s="51" t="s">
        <v>19</v>
      </c>
      <c r="J54" s="65"/>
      <c r="K54" s="51" t="s">
        <v>123</v>
      </c>
      <c r="L54" s="70"/>
      <c r="M54" s="51" t="s">
        <v>57</v>
      </c>
    </row>
    <row r="55" spans="1:13">
      <c r="A55" s="57" t="s">
        <v>227</v>
      </c>
      <c r="B55" s="47">
        <v>1</v>
      </c>
      <c r="C55" s="55">
        <v>1</v>
      </c>
      <c r="D55" s="59" t="s">
        <v>161</v>
      </c>
      <c r="E55" s="53" t="s">
        <v>85</v>
      </c>
      <c r="F55" s="35" t="s">
        <v>228</v>
      </c>
      <c r="G55" s="154" t="s">
        <v>229</v>
      </c>
      <c r="H55" s="42" t="s">
        <v>230</v>
      </c>
      <c r="I55" s="51" t="s">
        <v>19</v>
      </c>
      <c r="J55" s="65"/>
      <c r="K55" s="51"/>
      <c r="L55" s="70"/>
      <c r="M55" s="51" t="s">
        <v>57</v>
      </c>
    </row>
    <row r="56" spans="1:13">
      <c r="A56" s="57" t="s">
        <v>231</v>
      </c>
      <c r="B56" s="47">
        <v>3</v>
      </c>
      <c r="C56" s="55">
        <v>2</v>
      </c>
      <c r="D56" s="57" t="s">
        <v>161</v>
      </c>
      <c r="E56" s="53" t="s">
        <v>232</v>
      </c>
      <c r="F56" s="38" t="s">
        <v>233</v>
      </c>
      <c r="G56" s="154" t="s">
        <v>234</v>
      </c>
      <c r="H56" s="42" t="s">
        <v>235</v>
      </c>
      <c r="I56" s="51" t="s">
        <v>236</v>
      </c>
      <c r="J56" s="65"/>
      <c r="K56" s="51" t="s">
        <v>20</v>
      </c>
      <c r="L56" s="70"/>
      <c r="M56" s="51" t="s">
        <v>57</v>
      </c>
    </row>
    <row r="57" spans="1:13">
      <c r="A57" s="57" t="s">
        <v>237</v>
      </c>
      <c r="B57" s="47">
        <v>2</v>
      </c>
      <c r="C57" s="55">
        <v>2</v>
      </c>
      <c r="D57" s="57" t="s">
        <v>161</v>
      </c>
      <c r="E57" s="51" t="s">
        <v>238</v>
      </c>
      <c r="F57" s="38" t="s">
        <v>239</v>
      </c>
      <c r="G57" s="154" t="s">
        <v>240</v>
      </c>
      <c r="H57" s="42" t="s">
        <v>241</v>
      </c>
      <c r="I57" s="51" t="s">
        <v>33</v>
      </c>
      <c r="J57" s="65"/>
      <c r="K57" s="51" t="s">
        <v>20</v>
      </c>
      <c r="L57" s="70"/>
      <c r="M57" s="51" t="s">
        <v>57</v>
      </c>
    </row>
    <row r="58" spans="1:13">
      <c r="A58" s="57" t="s">
        <v>242</v>
      </c>
      <c r="B58" s="47">
        <v>1</v>
      </c>
      <c r="C58" s="55">
        <v>2</v>
      </c>
      <c r="D58" s="57" t="s">
        <v>161</v>
      </c>
      <c r="E58" s="53" t="s">
        <v>137</v>
      </c>
      <c r="F58" s="38" t="s">
        <v>243</v>
      </c>
      <c r="G58" s="133" t="s">
        <v>244</v>
      </c>
      <c r="H58" s="42" t="s">
        <v>245</v>
      </c>
      <c r="I58" s="51" t="s">
        <v>236</v>
      </c>
      <c r="J58" s="65"/>
      <c r="K58" s="51" t="s">
        <v>20</v>
      </c>
      <c r="L58" s="70"/>
      <c r="M58" s="51" t="s">
        <v>57</v>
      </c>
    </row>
    <row r="59" spans="1:13">
      <c r="A59" s="57" t="s">
        <v>246</v>
      </c>
      <c r="B59" s="47">
        <v>2</v>
      </c>
      <c r="C59" s="55">
        <v>2</v>
      </c>
      <c r="D59" s="59" t="s">
        <v>161</v>
      </c>
      <c r="E59" s="53" t="s">
        <v>247</v>
      </c>
      <c r="F59" s="33" t="s">
        <v>248</v>
      </c>
      <c r="G59" s="130" t="s">
        <v>249</v>
      </c>
      <c r="H59" s="42" t="s">
        <v>18</v>
      </c>
      <c r="I59" s="51" t="s">
        <v>19</v>
      </c>
      <c r="J59" s="65"/>
      <c r="K59" s="51" t="s">
        <v>20</v>
      </c>
      <c r="L59" s="70"/>
      <c r="M59" s="57"/>
    </row>
    <row r="60" spans="1:13">
      <c r="A60" s="57" t="s">
        <v>250</v>
      </c>
      <c r="B60" s="47">
        <v>3</v>
      </c>
      <c r="C60" s="55">
        <v>2</v>
      </c>
      <c r="D60" s="59" t="s">
        <v>161</v>
      </c>
      <c r="E60" s="53" t="s">
        <v>247</v>
      </c>
      <c r="F60" s="33" t="s">
        <v>251</v>
      </c>
      <c r="G60" s="130" t="s">
        <v>252</v>
      </c>
      <c r="H60" s="42" t="s">
        <v>253</v>
      </c>
      <c r="I60" s="51" t="s">
        <v>19</v>
      </c>
      <c r="J60" s="65"/>
      <c r="K60" s="51" t="s">
        <v>20</v>
      </c>
      <c r="L60" s="70"/>
      <c r="M60" s="57"/>
    </row>
    <row r="61" spans="1:13">
      <c r="A61" s="57" t="s">
        <v>254</v>
      </c>
      <c r="B61" s="47">
        <v>3</v>
      </c>
      <c r="C61" s="55">
        <v>3</v>
      </c>
      <c r="D61" s="57" t="s">
        <v>255</v>
      </c>
      <c r="E61" s="51" t="s">
        <v>162</v>
      </c>
      <c r="F61" s="36" t="s">
        <v>256</v>
      </c>
      <c r="G61" s="150" t="s">
        <v>257</v>
      </c>
      <c r="H61" s="43" t="s">
        <v>258</v>
      </c>
      <c r="I61" s="51" t="s">
        <v>33</v>
      </c>
      <c r="J61" s="65"/>
      <c r="K61" s="51" t="s">
        <v>20</v>
      </c>
      <c r="L61" s="69" t="s">
        <v>34</v>
      </c>
      <c r="M61" s="51"/>
    </row>
    <row r="62" spans="1:13">
      <c r="A62" s="57" t="s">
        <v>259</v>
      </c>
      <c r="B62" s="47">
        <v>1</v>
      </c>
      <c r="C62" s="55">
        <v>1</v>
      </c>
      <c r="D62" s="57" t="s">
        <v>255</v>
      </c>
      <c r="E62" s="51" t="s">
        <v>193</v>
      </c>
      <c r="F62" s="36" t="s">
        <v>260</v>
      </c>
      <c r="G62" s="131" t="s">
        <v>261</v>
      </c>
      <c r="H62" s="42" t="s">
        <v>262</v>
      </c>
      <c r="I62" s="51" t="s">
        <v>33</v>
      </c>
      <c r="J62" s="65"/>
      <c r="K62" s="51" t="s">
        <v>20</v>
      </c>
      <c r="L62" s="69"/>
      <c r="M62" s="51"/>
    </row>
    <row r="63" spans="1:13">
      <c r="A63" s="57" t="s">
        <v>263</v>
      </c>
      <c r="B63" s="47">
        <v>1</v>
      </c>
      <c r="C63" s="55">
        <v>1</v>
      </c>
      <c r="D63" s="57" t="s">
        <v>255</v>
      </c>
      <c r="E63" s="51" t="s">
        <v>193</v>
      </c>
      <c r="F63" s="36" t="s">
        <v>264</v>
      </c>
      <c r="G63" s="131" t="s">
        <v>265</v>
      </c>
      <c r="H63" s="42" t="s">
        <v>266</v>
      </c>
      <c r="I63" s="51" t="s">
        <v>33</v>
      </c>
      <c r="J63" s="65"/>
      <c r="K63" s="51" t="s">
        <v>20</v>
      </c>
      <c r="L63" s="69"/>
      <c r="M63" s="51"/>
    </row>
    <row r="64" spans="1:13">
      <c r="A64" s="57" t="s">
        <v>267</v>
      </c>
      <c r="B64" s="47">
        <v>1</v>
      </c>
      <c r="C64" s="55">
        <v>1</v>
      </c>
      <c r="D64" s="57" t="s">
        <v>255</v>
      </c>
      <c r="E64" s="51" t="s">
        <v>268</v>
      </c>
      <c r="F64" s="36" t="s">
        <v>269</v>
      </c>
      <c r="G64" s="150" t="s">
        <v>270</v>
      </c>
      <c r="H64" s="44" t="s">
        <v>271</v>
      </c>
      <c r="I64" s="51" t="s">
        <v>33</v>
      </c>
      <c r="J64" s="65"/>
      <c r="K64" s="51" t="s">
        <v>20</v>
      </c>
      <c r="L64" s="69" t="s">
        <v>34</v>
      </c>
      <c r="M64" s="51" t="s">
        <v>272</v>
      </c>
    </row>
    <row r="65" spans="1:13">
      <c r="A65" s="57" t="s">
        <v>273</v>
      </c>
      <c r="B65" s="47">
        <v>1</v>
      </c>
      <c r="C65" s="55">
        <v>1</v>
      </c>
      <c r="D65" s="57" t="s">
        <v>255</v>
      </c>
      <c r="E65" s="51" t="s">
        <v>268</v>
      </c>
      <c r="F65" s="36" t="s">
        <v>274</v>
      </c>
      <c r="G65" s="150" t="s">
        <v>275</v>
      </c>
      <c r="H65" s="44" t="s">
        <v>276</v>
      </c>
      <c r="I65" s="51" t="s">
        <v>33</v>
      </c>
      <c r="J65" s="65"/>
      <c r="K65" s="51" t="s">
        <v>20</v>
      </c>
      <c r="L65" s="69" t="s">
        <v>34</v>
      </c>
      <c r="M65" s="51"/>
    </row>
    <row r="66" spans="1:13">
      <c r="A66" s="57" t="s">
        <v>277</v>
      </c>
      <c r="B66" s="47">
        <v>1</v>
      </c>
      <c r="C66" s="55">
        <v>1</v>
      </c>
      <c r="D66" s="57" t="s">
        <v>278</v>
      </c>
      <c r="E66" s="53" t="s">
        <v>193</v>
      </c>
      <c r="F66" s="34" t="s">
        <v>279</v>
      </c>
      <c r="G66" s="131" t="s">
        <v>280</v>
      </c>
      <c r="H66" s="42" t="s">
        <v>281</v>
      </c>
      <c r="I66" s="51" t="s">
        <v>33</v>
      </c>
      <c r="J66" s="65" t="s">
        <v>282</v>
      </c>
      <c r="K66" s="51" t="s">
        <v>20</v>
      </c>
      <c r="L66" s="69"/>
      <c r="M66" s="51"/>
    </row>
    <row r="67" spans="1:13">
      <c r="A67" s="57" t="s">
        <v>283</v>
      </c>
      <c r="B67" s="47">
        <v>2</v>
      </c>
      <c r="C67" s="55">
        <v>3</v>
      </c>
      <c r="D67" s="57" t="s">
        <v>278</v>
      </c>
      <c r="E67" s="53" t="s">
        <v>284</v>
      </c>
      <c r="F67" s="34" t="s">
        <v>285</v>
      </c>
      <c r="G67" s="83" t="s">
        <v>286</v>
      </c>
      <c r="H67" s="84"/>
      <c r="I67" s="51" t="s">
        <v>33</v>
      </c>
      <c r="J67" s="65" t="s">
        <v>287</v>
      </c>
      <c r="K67" s="51" t="s">
        <v>20</v>
      </c>
      <c r="L67" s="69" t="s">
        <v>288</v>
      </c>
      <c r="M67" t="s">
        <v>286</v>
      </c>
    </row>
    <row r="68" spans="1:13">
      <c r="A68" s="57" t="s">
        <v>289</v>
      </c>
      <c r="B68" s="47">
        <v>2</v>
      </c>
      <c r="C68" s="55">
        <v>3</v>
      </c>
      <c r="D68" s="57" t="s">
        <v>278</v>
      </c>
      <c r="E68" s="53" t="s">
        <v>284</v>
      </c>
      <c r="F68" s="34" t="s">
        <v>290</v>
      </c>
      <c r="G68" s="83" t="s">
        <v>291</v>
      </c>
      <c r="H68" s="84"/>
      <c r="I68" s="51" t="s">
        <v>33</v>
      </c>
      <c r="J68" s="65" t="s">
        <v>287</v>
      </c>
      <c r="K68" s="51" t="s">
        <v>20</v>
      </c>
      <c r="L68" s="69" t="s">
        <v>288</v>
      </c>
      <c r="M68" s="51" t="s">
        <v>292</v>
      </c>
    </row>
    <row r="69" spans="1:13">
      <c r="A69" s="57" t="s">
        <v>293</v>
      </c>
      <c r="B69" s="47">
        <v>1</v>
      </c>
      <c r="C69" s="55">
        <v>1</v>
      </c>
      <c r="D69" s="57" t="s">
        <v>278</v>
      </c>
      <c r="E69" s="53" t="s">
        <v>294</v>
      </c>
      <c r="F69" s="33" t="s">
        <v>295</v>
      </c>
      <c r="G69" s="130" t="s">
        <v>296</v>
      </c>
      <c r="H69" s="42" t="s">
        <v>297</v>
      </c>
      <c r="I69" s="51" t="s">
        <v>33</v>
      </c>
      <c r="J69" s="65"/>
      <c r="K69" s="51" t="s">
        <v>20</v>
      </c>
      <c r="L69" s="69"/>
      <c r="M69" s="51" t="s">
        <v>298</v>
      </c>
    </row>
    <row r="70" spans="1:13">
      <c r="A70" s="57" t="s">
        <v>299</v>
      </c>
      <c r="B70" s="47">
        <v>2</v>
      </c>
      <c r="C70" s="55">
        <v>2</v>
      </c>
      <c r="D70" s="57" t="s">
        <v>278</v>
      </c>
      <c r="E70" s="53" t="s">
        <v>294</v>
      </c>
      <c r="F70" s="33" t="s">
        <v>300</v>
      </c>
      <c r="G70" s="130" t="s">
        <v>301</v>
      </c>
      <c r="H70" s="42" t="s">
        <v>297</v>
      </c>
      <c r="I70" s="51" t="s">
        <v>33</v>
      </c>
      <c r="J70" s="65"/>
      <c r="K70" s="51" t="s">
        <v>20</v>
      </c>
      <c r="L70" s="69"/>
      <c r="M70" s="51" t="s">
        <v>298</v>
      </c>
    </row>
    <row r="71" spans="1:13">
      <c r="A71" s="57" t="s">
        <v>302</v>
      </c>
      <c r="B71" s="47">
        <v>2</v>
      </c>
      <c r="C71" s="55">
        <v>3</v>
      </c>
      <c r="D71" s="57" t="s">
        <v>278</v>
      </c>
      <c r="E71" s="53" t="s">
        <v>303</v>
      </c>
      <c r="F71" s="33" t="s">
        <v>304</v>
      </c>
      <c r="G71" s="83" t="s">
        <v>305</v>
      </c>
      <c r="H71" s="42"/>
      <c r="I71" s="51" t="s">
        <v>33</v>
      </c>
      <c r="J71" s="65" t="s">
        <v>306</v>
      </c>
      <c r="K71" s="51" t="s">
        <v>20</v>
      </c>
      <c r="L71" s="69" t="s">
        <v>288</v>
      </c>
      <c r="M71" s="24" t="s">
        <v>307</v>
      </c>
    </row>
    <row r="72" spans="1:13">
      <c r="A72" s="57" t="s">
        <v>308</v>
      </c>
      <c r="B72" s="47">
        <v>2</v>
      </c>
      <c r="C72" s="55">
        <v>3</v>
      </c>
      <c r="D72" s="57" t="s">
        <v>278</v>
      </c>
      <c r="E72" s="53" t="s">
        <v>303</v>
      </c>
      <c r="F72" s="33" t="s">
        <v>309</v>
      </c>
      <c r="G72" s="83" t="s">
        <v>310</v>
      </c>
      <c r="H72" s="42"/>
      <c r="I72" s="51" t="s">
        <v>33</v>
      </c>
      <c r="J72" s="65" t="s">
        <v>306</v>
      </c>
      <c r="K72" s="51" t="s">
        <v>20</v>
      </c>
      <c r="L72" s="69" t="s">
        <v>288</v>
      </c>
      <c r="M72" s="51" t="s">
        <v>310</v>
      </c>
    </row>
    <row r="73" spans="1:13" s="25" customFormat="1">
      <c r="A73" s="57" t="s">
        <v>311</v>
      </c>
      <c r="B73" s="47">
        <v>1</v>
      </c>
      <c r="C73" s="55">
        <v>1</v>
      </c>
      <c r="D73" s="57" t="s">
        <v>312</v>
      </c>
      <c r="E73" s="53" t="s">
        <v>162</v>
      </c>
      <c r="F73" s="33" t="s">
        <v>313</v>
      </c>
      <c r="G73" s="130" t="s">
        <v>314</v>
      </c>
      <c r="H73" s="42" t="s">
        <v>18</v>
      </c>
      <c r="I73" s="51" t="s">
        <v>33</v>
      </c>
      <c r="J73" s="65" t="s">
        <v>315</v>
      </c>
      <c r="K73" s="51" t="s">
        <v>20</v>
      </c>
      <c r="L73" s="69"/>
      <c r="M73" s="51"/>
    </row>
    <row r="74" spans="1:13" s="25" customFormat="1">
      <c r="A74" s="57" t="s">
        <v>316</v>
      </c>
      <c r="B74" s="47">
        <v>3</v>
      </c>
      <c r="C74" s="55">
        <v>3</v>
      </c>
      <c r="D74" s="57" t="s">
        <v>312</v>
      </c>
      <c r="E74" s="53" t="s">
        <v>162</v>
      </c>
      <c r="F74" s="108" t="s">
        <v>317</v>
      </c>
      <c r="G74" s="130" t="s">
        <v>318</v>
      </c>
      <c r="H74" s="42" t="s">
        <v>319</v>
      </c>
      <c r="I74" s="51" t="s">
        <v>33</v>
      </c>
      <c r="J74" s="65"/>
      <c r="K74" s="51" t="s">
        <v>20</v>
      </c>
      <c r="L74" s="69"/>
      <c r="M74" s="51"/>
    </row>
    <row r="75" spans="1:13">
      <c r="A75" s="57" t="s">
        <v>320</v>
      </c>
      <c r="B75" s="48">
        <v>2</v>
      </c>
      <c r="C75" s="55">
        <v>2</v>
      </c>
      <c r="D75" s="57" t="s">
        <v>312</v>
      </c>
      <c r="E75" s="53" t="s">
        <v>162</v>
      </c>
      <c r="F75" s="33" t="s">
        <v>321</v>
      </c>
      <c r="G75" s="130" t="s">
        <v>322</v>
      </c>
      <c r="H75" s="42" t="s">
        <v>323</v>
      </c>
      <c r="I75" s="51" t="s">
        <v>33</v>
      </c>
      <c r="J75" s="65"/>
      <c r="K75" s="51" t="s">
        <v>20</v>
      </c>
      <c r="L75" s="69"/>
      <c r="M75" s="51"/>
    </row>
    <row r="76" spans="1:13">
      <c r="A76" s="57" t="s">
        <v>324</v>
      </c>
      <c r="B76" s="47">
        <v>2</v>
      </c>
      <c r="C76" s="55">
        <v>2</v>
      </c>
      <c r="D76" s="57" t="s">
        <v>312</v>
      </c>
      <c r="E76" s="53" t="s">
        <v>162</v>
      </c>
      <c r="F76" s="33" t="s">
        <v>325</v>
      </c>
      <c r="G76" s="130" t="s">
        <v>326</v>
      </c>
      <c r="H76" s="42" t="s">
        <v>18</v>
      </c>
      <c r="I76" s="51" t="s">
        <v>33</v>
      </c>
      <c r="J76" s="65"/>
      <c r="K76" s="51" t="s">
        <v>88</v>
      </c>
      <c r="L76" s="69"/>
      <c r="M76" s="51"/>
    </row>
    <row r="77" spans="1:13">
      <c r="A77" s="57" t="s">
        <v>327</v>
      </c>
      <c r="B77" s="47">
        <v>2</v>
      </c>
      <c r="C77" s="55">
        <v>2</v>
      </c>
      <c r="D77" s="57" t="s">
        <v>312</v>
      </c>
      <c r="E77" s="53" t="s">
        <v>162</v>
      </c>
      <c r="F77" s="33" t="s">
        <v>328</v>
      </c>
      <c r="G77" s="130" t="s">
        <v>329</v>
      </c>
      <c r="H77" s="42" t="s">
        <v>330</v>
      </c>
      <c r="I77" s="51" t="s">
        <v>33</v>
      </c>
      <c r="J77" s="65"/>
      <c r="K77" s="51" t="s">
        <v>88</v>
      </c>
      <c r="L77" s="69"/>
      <c r="M77" s="51"/>
    </row>
    <row r="78" spans="1:13">
      <c r="A78" s="57" t="s">
        <v>331</v>
      </c>
      <c r="B78" s="47">
        <v>2</v>
      </c>
      <c r="C78" s="55">
        <v>2</v>
      </c>
      <c r="D78" s="57" t="s">
        <v>312</v>
      </c>
      <c r="E78" s="53" t="s">
        <v>162</v>
      </c>
      <c r="F78" s="33" t="s">
        <v>332</v>
      </c>
      <c r="G78" s="130" t="s">
        <v>333</v>
      </c>
      <c r="H78" s="42" t="s">
        <v>334</v>
      </c>
      <c r="I78" s="51" t="s">
        <v>33</v>
      </c>
      <c r="J78" s="65"/>
      <c r="K78" s="51" t="s">
        <v>20</v>
      </c>
      <c r="L78" s="69" t="s">
        <v>34</v>
      </c>
      <c r="M78" s="51"/>
    </row>
    <row r="79" spans="1:13">
      <c r="A79" s="57" t="s">
        <v>335</v>
      </c>
      <c r="B79" s="48"/>
      <c r="C79" s="55">
        <v>3</v>
      </c>
      <c r="D79" s="57" t="s">
        <v>312</v>
      </c>
      <c r="E79" s="53" t="s">
        <v>162</v>
      </c>
      <c r="F79" s="33" t="s">
        <v>336</v>
      </c>
      <c r="G79" s="130" t="s">
        <v>337</v>
      </c>
      <c r="H79" s="42" t="s">
        <v>338</v>
      </c>
      <c r="I79" s="51" t="s">
        <v>33</v>
      </c>
      <c r="J79" s="65"/>
      <c r="K79" s="51" t="s">
        <v>20</v>
      </c>
      <c r="L79" s="69"/>
      <c r="M79" s="51"/>
    </row>
    <row r="80" spans="1:13">
      <c r="A80" s="57" t="s">
        <v>339</v>
      </c>
      <c r="B80" s="48">
        <v>1</v>
      </c>
      <c r="C80" s="55">
        <v>1</v>
      </c>
      <c r="D80" s="57" t="s">
        <v>312</v>
      </c>
      <c r="E80" s="53" t="s">
        <v>162</v>
      </c>
      <c r="F80" s="33" t="s">
        <v>340</v>
      </c>
      <c r="G80" s="130" t="s">
        <v>341</v>
      </c>
      <c r="H80" s="42" t="s">
        <v>18</v>
      </c>
      <c r="I80" s="51" t="s">
        <v>33</v>
      </c>
      <c r="J80" s="65"/>
      <c r="K80" s="51" t="s">
        <v>20</v>
      </c>
      <c r="L80" s="69"/>
      <c r="M80" s="51"/>
    </row>
    <row r="81" spans="1:13">
      <c r="A81" s="57" t="s">
        <v>342</v>
      </c>
      <c r="B81" s="47">
        <v>1</v>
      </c>
      <c r="C81" s="55">
        <v>1</v>
      </c>
      <c r="D81" s="57" t="s">
        <v>312</v>
      </c>
      <c r="E81" s="53" t="s">
        <v>193</v>
      </c>
      <c r="F81" s="35" t="s">
        <v>343</v>
      </c>
      <c r="G81" s="154" t="s">
        <v>344</v>
      </c>
      <c r="H81" s="42" t="s">
        <v>345</v>
      </c>
      <c r="I81" s="51" t="s">
        <v>33</v>
      </c>
      <c r="J81" s="65"/>
      <c r="K81" s="51" t="s">
        <v>346</v>
      </c>
      <c r="L81" s="69"/>
      <c r="M81" s="51" t="s">
        <v>57</v>
      </c>
    </row>
    <row r="82" spans="1:13">
      <c r="A82" s="57" t="s">
        <v>347</v>
      </c>
      <c r="B82" s="47">
        <v>1</v>
      </c>
      <c r="C82" s="55">
        <v>1</v>
      </c>
      <c r="D82" s="57" t="s">
        <v>312</v>
      </c>
      <c r="E82" s="53" t="s">
        <v>193</v>
      </c>
      <c r="F82" s="35" t="s">
        <v>348</v>
      </c>
      <c r="G82" s="154" t="s">
        <v>349</v>
      </c>
      <c r="H82" s="42" t="s">
        <v>345</v>
      </c>
      <c r="I82" s="51" t="s">
        <v>33</v>
      </c>
      <c r="J82" s="65"/>
      <c r="K82" s="51" t="s">
        <v>123</v>
      </c>
      <c r="L82" s="69"/>
      <c r="M82" s="51" t="s">
        <v>57</v>
      </c>
    </row>
    <row r="83" spans="1:13">
      <c r="A83" s="57" t="s">
        <v>350</v>
      </c>
      <c r="B83" s="48">
        <v>3</v>
      </c>
      <c r="C83" s="55">
        <v>3</v>
      </c>
      <c r="D83" s="57" t="s">
        <v>312</v>
      </c>
      <c r="E83" s="53" t="s">
        <v>351</v>
      </c>
      <c r="F83" s="33" t="s">
        <v>352</v>
      </c>
      <c r="G83" s="130" t="s">
        <v>353</v>
      </c>
      <c r="H83" s="42" t="s">
        <v>354</v>
      </c>
      <c r="I83" s="51" t="s">
        <v>33</v>
      </c>
      <c r="J83" s="65"/>
      <c r="K83" s="51" t="s">
        <v>20</v>
      </c>
      <c r="L83" s="69" t="s">
        <v>34</v>
      </c>
      <c r="M83" s="51"/>
    </row>
    <row r="84" spans="1:13">
      <c r="A84" s="57" t="s">
        <v>355</v>
      </c>
      <c r="B84" s="47">
        <v>2</v>
      </c>
      <c r="C84" s="55">
        <v>2</v>
      </c>
      <c r="D84" s="57" t="s">
        <v>312</v>
      </c>
      <c r="E84" s="53" t="s">
        <v>351</v>
      </c>
      <c r="F84" s="33" t="s">
        <v>356</v>
      </c>
      <c r="G84" s="130" t="s">
        <v>357</v>
      </c>
      <c r="H84" s="42" t="s">
        <v>358</v>
      </c>
      <c r="I84" s="51" t="s">
        <v>33</v>
      </c>
      <c r="J84" s="65"/>
      <c r="K84" s="51" t="s">
        <v>20</v>
      </c>
      <c r="L84" s="69"/>
      <c r="M84" s="51"/>
    </row>
    <row r="85" spans="1:13">
      <c r="A85" s="57" t="s">
        <v>359</v>
      </c>
      <c r="B85" s="47"/>
      <c r="C85" s="55">
        <v>3</v>
      </c>
      <c r="D85" s="57" t="s">
        <v>312</v>
      </c>
      <c r="E85" s="53" t="s">
        <v>217</v>
      </c>
      <c r="F85" s="33" t="s">
        <v>360</v>
      </c>
      <c r="G85" s="130" t="s">
        <v>361</v>
      </c>
      <c r="H85" s="42" t="s">
        <v>362</v>
      </c>
      <c r="I85" s="51" t="s">
        <v>33</v>
      </c>
      <c r="J85" s="65"/>
      <c r="K85" s="51" t="s">
        <v>20</v>
      </c>
      <c r="L85" s="69"/>
      <c r="M85" s="51"/>
    </row>
    <row r="86" spans="1:13">
      <c r="A86" s="57" t="s">
        <v>363</v>
      </c>
      <c r="B86" s="48"/>
      <c r="C86" s="55">
        <v>3</v>
      </c>
      <c r="D86" s="57" t="s">
        <v>312</v>
      </c>
      <c r="E86" s="51" t="s">
        <v>238</v>
      </c>
      <c r="F86" s="35" t="s">
        <v>364</v>
      </c>
      <c r="G86" s="133" t="s">
        <v>365</v>
      </c>
      <c r="H86" s="42" t="s">
        <v>366</v>
      </c>
      <c r="I86" s="51" t="s">
        <v>33</v>
      </c>
      <c r="J86" s="65"/>
      <c r="K86" s="51" t="s">
        <v>20</v>
      </c>
      <c r="L86" s="69"/>
      <c r="M86" s="51" t="s">
        <v>57</v>
      </c>
    </row>
    <row r="87" spans="1:13">
      <c r="A87" s="57" t="s">
        <v>367</v>
      </c>
      <c r="B87" s="48"/>
      <c r="C87" s="55">
        <v>2</v>
      </c>
      <c r="D87" s="57" t="s">
        <v>312</v>
      </c>
      <c r="E87" s="53" t="s">
        <v>137</v>
      </c>
      <c r="F87" s="33" t="s">
        <v>368</v>
      </c>
      <c r="G87" s="130" t="s">
        <v>369</v>
      </c>
      <c r="H87" s="42" t="s">
        <v>370</v>
      </c>
      <c r="I87" s="51" t="s">
        <v>33</v>
      </c>
      <c r="J87" s="65" t="s">
        <v>371</v>
      </c>
      <c r="K87" s="51" t="s">
        <v>20</v>
      </c>
      <c r="L87" s="69"/>
      <c r="M87" s="51"/>
    </row>
    <row r="88" spans="1:13">
      <c r="A88" s="57" t="s">
        <v>372</v>
      </c>
      <c r="B88" s="47">
        <v>3</v>
      </c>
      <c r="C88" s="55">
        <v>3</v>
      </c>
      <c r="D88" s="57" t="s">
        <v>312</v>
      </c>
      <c r="E88" s="53" t="s">
        <v>137</v>
      </c>
      <c r="F88" s="33" t="s">
        <v>373</v>
      </c>
      <c r="G88" s="131" t="s">
        <v>374</v>
      </c>
      <c r="H88" s="42" t="s">
        <v>375</v>
      </c>
      <c r="I88" s="51" t="s">
        <v>33</v>
      </c>
      <c r="J88" s="65"/>
      <c r="K88" s="51" t="s">
        <v>88</v>
      </c>
      <c r="L88" s="69"/>
      <c r="M88" s="51"/>
    </row>
    <row r="89" spans="1:13">
      <c r="A89" s="57" t="s">
        <v>376</v>
      </c>
      <c r="B89" s="48">
        <v>3</v>
      </c>
      <c r="C89" s="55">
        <v>3</v>
      </c>
      <c r="D89" s="57" t="s">
        <v>312</v>
      </c>
      <c r="E89" s="53" t="s">
        <v>137</v>
      </c>
      <c r="F89" s="33" t="s">
        <v>377</v>
      </c>
      <c r="G89" s="131" t="s">
        <v>378</v>
      </c>
      <c r="H89" s="42" t="s">
        <v>379</v>
      </c>
      <c r="I89" s="51" t="s">
        <v>33</v>
      </c>
      <c r="J89" s="65"/>
      <c r="K89" s="51" t="s">
        <v>88</v>
      </c>
      <c r="L89" s="69"/>
      <c r="M89" s="51"/>
    </row>
    <row r="90" spans="1:13">
      <c r="A90" s="57" t="s">
        <v>380</v>
      </c>
      <c r="B90" s="48">
        <v>2</v>
      </c>
      <c r="C90" s="55">
        <v>3</v>
      </c>
      <c r="D90" s="57" t="s">
        <v>312</v>
      </c>
      <c r="E90" s="53" t="s">
        <v>137</v>
      </c>
      <c r="F90" s="33" t="s">
        <v>381</v>
      </c>
      <c r="G90" s="131" t="s">
        <v>382</v>
      </c>
      <c r="H90" s="42" t="s">
        <v>383</v>
      </c>
      <c r="I90" s="51" t="s">
        <v>33</v>
      </c>
      <c r="J90" s="65"/>
      <c r="K90" s="51" t="s">
        <v>20</v>
      </c>
      <c r="L90" s="69"/>
      <c r="M90" s="51"/>
    </row>
    <row r="91" spans="1:13">
      <c r="A91" s="57" t="s">
        <v>384</v>
      </c>
      <c r="B91" s="48"/>
      <c r="C91" s="55">
        <v>3</v>
      </c>
      <c r="D91" s="57" t="s">
        <v>312</v>
      </c>
      <c r="E91" s="53" t="s">
        <v>385</v>
      </c>
      <c r="F91" s="33" t="s">
        <v>386</v>
      </c>
      <c r="G91" s="130" t="s">
        <v>387</v>
      </c>
      <c r="H91" s="42" t="s">
        <v>388</v>
      </c>
      <c r="I91" s="51" t="s">
        <v>33</v>
      </c>
      <c r="J91" s="65"/>
      <c r="K91" s="51" t="s">
        <v>20</v>
      </c>
      <c r="L91" s="69"/>
      <c r="M91" s="51"/>
    </row>
    <row r="92" spans="1:13">
      <c r="A92" s="57" t="s">
        <v>389</v>
      </c>
      <c r="B92" s="48"/>
      <c r="C92" s="55">
        <v>3</v>
      </c>
      <c r="D92" s="57" t="s">
        <v>312</v>
      </c>
      <c r="E92" s="51" t="s">
        <v>385</v>
      </c>
      <c r="F92" s="38" t="s">
        <v>390</v>
      </c>
      <c r="G92" s="154" t="s">
        <v>391</v>
      </c>
      <c r="H92" s="42" t="s">
        <v>392</v>
      </c>
      <c r="I92" s="51" t="s">
        <v>236</v>
      </c>
      <c r="J92" s="65"/>
      <c r="K92" s="51" t="s">
        <v>20</v>
      </c>
      <c r="L92" s="69"/>
      <c r="M92" s="51" t="s">
        <v>57</v>
      </c>
    </row>
    <row r="93" spans="1:13">
      <c r="A93" s="57" t="s">
        <v>393</v>
      </c>
      <c r="B93" s="48">
        <v>3</v>
      </c>
      <c r="C93" s="74">
        <v>3</v>
      </c>
      <c r="D93" s="57" t="s">
        <v>394</v>
      </c>
      <c r="E93" s="53" t="s">
        <v>395</v>
      </c>
      <c r="F93" s="33" t="s">
        <v>396</v>
      </c>
      <c r="G93" s="137" t="s">
        <v>397</v>
      </c>
      <c r="H93" s="42" t="s">
        <v>32</v>
      </c>
      <c r="I93" s="51" t="s">
        <v>33</v>
      </c>
      <c r="J93" s="65"/>
      <c r="K93" s="51" t="s">
        <v>20</v>
      </c>
      <c r="L93" s="70"/>
      <c r="M93" s="51"/>
    </row>
    <row r="94" spans="1:13">
      <c r="A94" s="57" t="s">
        <v>398</v>
      </c>
      <c r="B94" s="48">
        <v>3</v>
      </c>
      <c r="C94" s="74">
        <v>3</v>
      </c>
      <c r="D94" s="57" t="s">
        <v>394</v>
      </c>
      <c r="E94" s="53" t="s">
        <v>395</v>
      </c>
      <c r="F94" s="35" t="s">
        <v>399</v>
      </c>
      <c r="G94" s="132" t="s">
        <v>400</v>
      </c>
      <c r="H94" s="42" t="s">
        <v>401</v>
      </c>
      <c r="I94" s="51" t="s">
        <v>33</v>
      </c>
      <c r="J94" s="65"/>
      <c r="K94" s="51" t="s">
        <v>20</v>
      </c>
      <c r="L94" s="70"/>
      <c r="M94" s="51" t="s">
        <v>57</v>
      </c>
    </row>
    <row r="95" spans="1:13">
      <c r="A95" s="57" t="s">
        <v>402</v>
      </c>
      <c r="B95" s="48">
        <v>2</v>
      </c>
      <c r="C95" s="74">
        <v>2</v>
      </c>
      <c r="D95" s="57" t="s">
        <v>394</v>
      </c>
      <c r="E95" s="53" t="s">
        <v>395</v>
      </c>
      <c r="F95" s="35" t="s">
        <v>403</v>
      </c>
      <c r="G95" s="132" t="s">
        <v>404</v>
      </c>
      <c r="H95" s="42" t="s">
        <v>405</v>
      </c>
      <c r="I95" s="51" t="s">
        <v>33</v>
      </c>
      <c r="J95" s="65"/>
      <c r="K95" s="51" t="s">
        <v>20</v>
      </c>
      <c r="L95" s="70"/>
      <c r="M95" s="51" t="s">
        <v>57</v>
      </c>
    </row>
    <row r="96" spans="1:13">
      <c r="A96" s="57" t="s">
        <v>406</v>
      </c>
      <c r="B96" s="48"/>
      <c r="C96" s="74">
        <v>3</v>
      </c>
      <c r="D96" s="57" t="s">
        <v>394</v>
      </c>
      <c r="E96" s="53" t="s">
        <v>407</v>
      </c>
      <c r="F96" s="33" t="s">
        <v>408</v>
      </c>
      <c r="G96" s="137" t="s">
        <v>409</v>
      </c>
      <c r="H96" s="42" t="s">
        <v>410</v>
      </c>
      <c r="I96" s="51" t="s">
        <v>33</v>
      </c>
      <c r="J96" s="65" t="s">
        <v>411</v>
      </c>
      <c r="K96" s="51" t="s">
        <v>20</v>
      </c>
      <c r="L96" s="69"/>
      <c r="M96" s="51" t="s">
        <v>412</v>
      </c>
    </row>
    <row r="97" spans="1:13">
      <c r="A97" s="57" t="s">
        <v>413</v>
      </c>
      <c r="B97" s="48"/>
      <c r="C97" s="74">
        <v>3</v>
      </c>
      <c r="D97" s="57" t="s">
        <v>394</v>
      </c>
      <c r="E97" s="53" t="s">
        <v>407</v>
      </c>
      <c r="F97" s="33" t="s">
        <v>414</v>
      </c>
      <c r="G97" s="137" t="s">
        <v>415</v>
      </c>
      <c r="H97" s="42" t="s">
        <v>416</v>
      </c>
      <c r="I97" s="51" t="s">
        <v>33</v>
      </c>
      <c r="J97" s="65" t="s">
        <v>417</v>
      </c>
      <c r="K97" s="51" t="s">
        <v>20</v>
      </c>
      <c r="L97" s="69"/>
      <c r="M97" s="51"/>
    </row>
    <row r="98" spans="1:13">
      <c r="A98" s="57" t="s">
        <v>418</v>
      </c>
      <c r="B98" s="48"/>
      <c r="C98" s="74">
        <v>3</v>
      </c>
      <c r="D98" s="57" t="s">
        <v>394</v>
      </c>
      <c r="E98" s="53" t="s">
        <v>407</v>
      </c>
      <c r="F98" s="33" t="s">
        <v>419</v>
      </c>
      <c r="G98" s="137" t="s">
        <v>420</v>
      </c>
      <c r="H98" s="42" t="s">
        <v>421</v>
      </c>
      <c r="I98" s="51" t="s">
        <v>33</v>
      </c>
      <c r="J98" s="65" t="s">
        <v>422</v>
      </c>
      <c r="K98" s="51" t="s">
        <v>20</v>
      </c>
      <c r="L98" s="69"/>
      <c r="M98" s="51"/>
    </row>
    <row r="99" spans="1:13">
      <c r="A99" s="57" t="s">
        <v>423</v>
      </c>
      <c r="B99" s="48"/>
      <c r="C99" s="74">
        <v>3</v>
      </c>
      <c r="D99" s="57" t="s">
        <v>394</v>
      </c>
      <c r="E99" s="53" t="s">
        <v>407</v>
      </c>
      <c r="F99" s="33" t="s">
        <v>424</v>
      </c>
      <c r="G99" s="137" t="s">
        <v>425</v>
      </c>
      <c r="H99" s="42" t="s">
        <v>426</v>
      </c>
      <c r="I99" s="51" t="s">
        <v>33</v>
      </c>
      <c r="J99" s="65" t="s">
        <v>427</v>
      </c>
      <c r="K99" s="51" t="s">
        <v>20</v>
      </c>
      <c r="L99" s="69"/>
      <c r="M99" s="51"/>
    </row>
    <row r="100" spans="1:13">
      <c r="A100" s="57" t="s">
        <v>428</v>
      </c>
      <c r="B100" s="48"/>
      <c r="C100" s="74">
        <v>3</v>
      </c>
      <c r="D100" s="57" t="s">
        <v>394</v>
      </c>
      <c r="E100" s="53" t="s">
        <v>407</v>
      </c>
      <c r="F100" s="33" t="s">
        <v>429</v>
      </c>
      <c r="G100" s="137" t="s">
        <v>430</v>
      </c>
      <c r="H100" s="42" t="s">
        <v>431</v>
      </c>
      <c r="I100" s="51" t="s">
        <v>33</v>
      </c>
      <c r="J100" s="65" t="s">
        <v>432</v>
      </c>
      <c r="K100" s="51" t="s">
        <v>20</v>
      </c>
      <c r="L100" s="69"/>
      <c r="M100" s="51"/>
    </row>
    <row r="101" spans="1:13">
      <c r="A101" s="57" t="s">
        <v>433</v>
      </c>
      <c r="B101" s="48"/>
      <c r="C101" s="74">
        <v>3</v>
      </c>
      <c r="D101" s="57" t="s">
        <v>394</v>
      </c>
      <c r="E101" s="53" t="s">
        <v>407</v>
      </c>
      <c r="F101" s="33" t="s">
        <v>434</v>
      </c>
      <c r="G101" s="137" t="s">
        <v>435</v>
      </c>
      <c r="H101" s="42" t="s">
        <v>436</v>
      </c>
      <c r="I101" s="51" t="s">
        <v>33</v>
      </c>
      <c r="J101" s="65"/>
      <c r="K101" s="51" t="s">
        <v>20</v>
      </c>
      <c r="L101" s="70"/>
      <c r="M101" s="51"/>
    </row>
    <row r="102" spans="1:13">
      <c r="A102" s="57" t="s">
        <v>437</v>
      </c>
      <c r="B102" s="48"/>
      <c r="C102" s="74">
        <v>3</v>
      </c>
      <c r="D102" s="57" t="s">
        <v>394</v>
      </c>
      <c r="E102" s="53" t="s">
        <v>407</v>
      </c>
      <c r="F102" s="33" t="s">
        <v>438</v>
      </c>
      <c r="G102" s="137" t="s">
        <v>439</v>
      </c>
      <c r="H102" s="42" t="s">
        <v>440</v>
      </c>
      <c r="I102" s="51" t="s">
        <v>33</v>
      </c>
      <c r="J102" s="65"/>
      <c r="K102" s="51" t="s">
        <v>20</v>
      </c>
      <c r="L102" s="70"/>
      <c r="M102" s="51"/>
    </row>
    <row r="103" spans="1:13">
      <c r="A103" s="57" t="s">
        <v>441</v>
      </c>
      <c r="B103" s="48">
        <v>2</v>
      </c>
      <c r="C103" s="74">
        <v>3</v>
      </c>
      <c r="D103" s="57" t="s">
        <v>394</v>
      </c>
      <c r="E103" s="53" t="s">
        <v>442</v>
      </c>
      <c r="F103" s="35" t="s">
        <v>443</v>
      </c>
      <c r="G103" s="132" t="s">
        <v>444</v>
      </c>
      <c r="H103" s="42" t="s">
        <v>405</v>
      </c>
      <c r="I103" s="51" t="s">
        <v>33</v>
      </c>
      <c r="J103" s="65" t="s">
        <v>445</v>
      </c>
      <c r="K103" s="51" t="s">
        <v>88</v>
      </c>
      <c r="L103" s="70"/>
      <c r="M103" s="51" t="s">
        <v>57</v>
      </c>
    </row>
    <row r="104" spans="1:13">
      <c r="A104" s="57" t="s">
        <v>446</v>
      </c>
      <c r="B104" s="48">
        <v>2</v>
      </c>
      <c r="C104" s="74">
        <v>2</v>
      </c>
      <c r="D104" s="57" t="s">
        <v>394</v>
      </c>
      <c r="E104" s="53" t="s">
        <v>447</v>
      </c>
      <c r="F104" s="35" t="s">
        <v>448</v>
      </c>
      <c r="G104" s="132" t="s">
        <v>449</v>
      </c>
      <c r="H104" s="42" t="s">
        <v>450</v>
      </c>
      <c r="I104" s="51" t="s">
        <v>33</v>
      </c>
      <c r="J104" s="65"/>
      <c r="K104" s="51" t="s">
        <v>123</v>
      </c>
      <c r="L104" s="69" t="s">
        <v>34</v>
      </c>
      <c r="M104" s="51" t="s">
        <v>57</v>
      </c>
    </row>
    <row r="105" spans="1:13">
      <c r="A105" s="57" t="s">
        <v>451</v>
      </c>
      <c r="B105" s="48"/>
      <c r="C105" s="74">
        <v>3</v>
      </c>
      <c r="D105" s="57" t="s">
        <v>394</v>
      </c>
      <c r="E105" s="53" t="s">
        <v>452</v>
      </c>
      <c r="F105" s="33" t="s">
        <v>453</v>
      </c>
      <c r="G105" s="137" t="s">
        <v>454</v>
      </c>
      <c r="H105" s="42" t="s">
        <v>455</v>
      </c>
      <c r="I105" s="51" t="s">
        <v>33</v>
      </c>
      <c r="J105" s="65" t="s">
        <v>456</v>
      </c>
      <c r="K105" s="51" t="s">
        <v>20</v>
      </c>
      <c r="L105" s="69"/>
      <c r="M105" s="51" t="s">
        <v>412</v>
      </c>
    </row>
    <row r="106" spans="1:13">
      <c r="A106" s="57" t="s">
        <v>457</v>
      </c>
      <c r="B106" s="48"/>
      <c r="C106" s="74">
        <v>2</v>
      </c>
      <c r="D106" s="57" t="s">
        <v>394</v>
      </c>
      <c r="E106" s="53" t="s">
        <v>452</v>
      </c>
      <c r="F106" s="35" t="s">
        <v>458</v>
      </c>
      <c r="G106" s="132" t="s">
        <v>459</v>
      </c>
      <c r="H106" s="42" t="s">
        <v>405</v>
      </c>
      <c r="I106" s="51" t="s">
        <v>33</v>
      </c>
      <c r="J106" s="65"/>
      <c r="K106" s="51" t="s">
        <v>123</v>
      </c>
      <c r="L106" s="70"/>
      <c r="M106" s="51" t="s">
        <v>57</v>
      </c>
    </row>
    <row r="107" spans="1:13">
      <c r="A107" s="57" t="s">
        <v>460</v>
      </c>
      <c r="B107" s="48">
        <v>3</v>
      </c>
      <c r="C107" s="55">
        <v>2</v>
      </c>
      <c r="D107" s="57" t="s">
        <v>461</v>
      </c>
      <c r="E107" s="53" t="s">
        <v>462</v>
      </c>
      <c r="F107" s="33" t="s">
        <v>463</v>
      </c>
      <c r="G107" s="137" t="s">
        <v>464</v>
      </c>
      <c r="H107" s="42" t="s">
        <v>405</v>
      </c>
      <c r="I107" s="51" t="s">
        <v>19</v>
      </c>
      <c r="J107" s="65"/>
      <c r="K107" s="51" t="s">
        <v>20</v>
      </c>
      <c r="L107" s="69"/>
      <c r="M107" s="51"/>
    </row>
    <row r="108" spans="1:13">
      <c r="A108" s="57" t="s">
        <v>465</v>
      </c>
      <c r="B108" s="47">
        <v>3</v>
      </c>
      <c r="C108" s="55">
        <v>2</v>
      </c>
      <c r="D108" s="57" t="s">
        <v>461</v>
      </c>
      <c r="E108" s="53" t="s">
        <v>466</v>
      </c>
      <c r="F108" s="33" t="s">
        <v>467</v>
      </c>
      <c r="G108" s="137" t="s">
        <v>468</v>
      </c>
      <c r="H108" s="42" t="s">
        <v>405</v>
      </c>
      <c r="I108" s="51" t="s">
        <v>19</v>
      </c>
      <c r="J108" s="65"/>
      <c r="K108" s="51" t="s">
        <v>20</v>
      </c>
      <c r="L108" s="69"/>
      <c r="M108" s="51"/>
    </row>
    <row r="109" spans="1:13">
      <c r="A109" s="57" t="s">
        <v>469</v>
      </c>
      <c r="B109" s="47">
        <v>1</v>
      </c>
      <c r="C109" s="55">
        <v>1</v>
      </c>
      <c r="D109" s="57" t="s">
        <v>461</v>
      </c>
      <c r="E109" s="53" t="s">
        <v>193</v>
      </c>
      <c r="F109" s="41" t="s">
        <v>470</v>
      </c>
      <c r="G109" s="137" t="s">
        <v>471</v>
      </c>
      <c r="H109" s="42" t="s">
        <v>472</v>
      </c>
      <c r="I109" s="51" t="s">
        <v>33</v>
      </c>
      <c r="J109" s="65" t="s">
        <v>473</v>
      </c>
      <c r="K109" s="51" t="s">
        <v>20</v>
      </c>
      <c r="L109" s="69"/>
      <c r="M109" s="51" t="s">
        <v>474</v>
      </c>
    </row>
    <row r="110" spans="1:13">
      <c r="A110" s="57" t="s">
        <v>475</v>
      </c>
      <c r="B110" s="47">
        <v>3</v>
      </c>
      <c r="C110" s="55">
        <v>2</v>
      </c>
      <c r="D110" s="57" t="s">
        <v>461</v>
      </c>
      <c r="E110" s="53" t="s">
        <v>193</v>
      </c>
      <c r="F110" s="33" t="s">
        <v>476</v>
      </c>
      <c r="G110" s="137" t="s">
        <v>477</v>
      </c>
      <c r="H110" s="42" t="s">
        <v>405</v>
      </c>
      <c r="I110" s="51" t="s">
        <v>19</v>
      </c>
      <c r="J110" s="65"/>
      <c r="K110" s="51" t="s">
        <v>20</v>
      </c>
      <c r="L110" s="69"/>
      <c r="M110" s="51"/>
    </row>
    <row r="111" spans="1:13">
      <c r="A111" s="57" t="s">
        <v>478</v>
      </c>
      <c r="B111" s="48">
        <v>3</v>
      </c>
      <c r="C111" s="55">
        <v>2</v>
      </c>
      <c r="D111" s="57" t="s">
        <v>461</v>
      </c>
      <c r="E111" s="53" t="s">
        <v>193</v>
      </c>
      <c r="F111" s="33" t="s">
        <v>479</v>
      </c>
      <c r="G111" s="137" t="s">
        <v>480</v>
      </c>
      <c r="H111" s="42" t="s">
        <v>481</v>
      </c>
      <c r="I111" s="51" t="s">
        <v>19</v>
      </c>
      <c r="J111" s="65"/>
      <c r="K111" s="51" t="s">
        <v>20</v>
      </c>
      <c r="L111" s="69"/>
      <c r="M111" s="51"/>
    </row>
    <row r="112" spans="1:13">
      <c r="A112" s="57" t="s">
        <v>482</v>
      </c>
      <c r="B112" s="47">
        <v>2</v>
      </c>
      <c r="C112" s="55">
        <v>1</v>
      </c>
      <c r="D112" s="57" t="s">
        <v>461</v>
      </c>
      <c r="E112" s="53" t="s">
        <v>483</v>
      </c>
      <c r="F112" s="34" t="s">
        <v>484</v>
      </c>
      <c r="G112" s="131" t="s">
        <v>485</v>
      </c>
      <c r="H112" s="79" t="s">
        <v>486</v>
      </c>
      <c r="I112" s="51" t="s">
        <v>33</v>
      </c>
      <c r="J112" s="65" t="s">
        <v>487</v>
      </c>
      <c r="K112" s="51" t="s">
        <v>20</v>
      </c>
      <c r="L112" s="69" t="s">
        <v>34</v>
      </c>
      <c r="M112" s="51"/>
    </row>
    <row r="113" spans="1:13">
      <c r="A113" s="57" t="s">
        <v>488</v>
      </c>
      <c r="B113" s="47"/>
      <c r="C113" s="55">
        <v>1</v>
      </c>
      <c r="D113" s="60" t="s">
        <v>461</v>
      </c>
      <c r="E113" s="54" t="s">
        <v>483</v>
      </c>
      <c r="F113" s="34" t="s">
        <v>489</v>
      </c>
      <c r="G113" s="155" t="s">
        <v>490</v>
      </c>
      <c r="H113" s="42" t="s">
        <v>491</v>
      </c>
      <c r="I113" s="51" t="s">
        <v>33</v>
      </c>
      <c r="J113" s="66" t="s">
        <v>492</v>
      </c>
      <c r="K113" s="51" t="s">
        <v>20</v>
      </c>
      <c r="L113" s="71"/>
      <c r="M113" s="54"/>
    </row>
    <row r="114" spans="1:13">
      <c r="A114" s="57" t="s">
        <v>493</v>
      </c>
      <c r="B114" s="47"/>
      <c r="C114" s="55">
        <v>1</v>
      </c>
      <c r="D114" s="60" t="s">
        <v>461</v>
      </c>
      <c r="E114" s="54" t="s">
        <v>483</v>
      </c>
      <c r="F114" s="34" t="s">
        <v>494</v>
      </c>
      <c r="G114" s="156" t="s">
        <v>495</v>
      </c>
      <c r="H114" s="42" t="s">
        <v>496</v>
      </c>
      <c r="I114" s="51" t="s">
        <v>33</v>
      </c>
      <c r="J114" s="66"/>
      <c r="K114" s="51" t="s">
        <v>20</v>
      </c>
      <c r="L114" s="71"/>
      <c r="M114" s="54"/>
    </row>
    <row r="115" spans="1:13">
      <c r="A115" s="57" t="s">
        <v>497</v>
      </c>
      <c r="B115" s="47"/>
      <c r="C115" s="55">
        <v>2</v>
      </c>
      <c r="D115" s="57" t="s">
        <v>461</v>
      </c>
      <c r="E115" s="53" t="s">
        <v>483</v>
      </c>
      <c r="F115" s="34" t="s">
        <v>498</v>
      </c>
      <c r="G115" s="137" t="s">
        <v>499</v>
      </c>
      <c r="H115" s="42" t="s">
        <v>500</v>
      </c>
      <c r="I115" s="51" t="s">
        <v>33</v>
      </c>
      <c r="J115" s="65" t="s">
        <v>501</v>
      </c>
      <c r="K115" s="51" t="s">
        <v>20</v>
      </c>
      <c r="L115" s="69" t="s">
        <v>34</v>
      </c>
      <c r="M115" s="51"/>
    </row>
    <row r="116" spans="1:13">
      <c r="A116" s="57" t="s">
        <v>502</v>
      </c>
      <c r="B116" s="47">
        <v>3</v>
      </c>
      <c r="C116" s="55">
        <v>2</v>
      </c>
      <c r="D116" s="57" t="s">
        <v>461</v>
      </c>
      <c r="E116" s="53" t="s">
        <v>483</v>
      </c>
      <c r="F116" s="41" t="s">
        <v>503</v>
      </c>
      <c r="G116" s="131" t="s">
        <v>504</v>
      </c>
      <c r="H116" s="42" t="s">
        <v>505</v>
      </c>
      <c r="I116" s="51" t="s">
        <v>33</v>
      </c>
      <c r="J116" s="65" t="s">
        <v>487</v>
      </c>
      <c r="K116" s="51" t="s">
        <v>88</v>
      </c>
      <c r="L116" s="69"/>
      <c r="M116" s="51"/>
    </row>
    <row r="117" spans="1:13">
      <c r="A117" s="57" t="s">
        <v>506</v>
      </c>
      <c r="B117" s="47">
        <v>3</v>
      </c>
      <c r="C117" s="55">
        <v>2</v>
      </c>
      <c r="D117" s="57" t="s">
        <v>461</v>
      </c>
      <c r="E117" s="53" t="s">
        <v>483</v>
      </c>
      <c r="F117" s="41" t="s">
        <v>507</v>
      </c>
      <c r="G117" s="131" t="s">
        <v>508</v>
      </c>
      <c r="H117" s="42" t="s">
        <v>491</v>
      </c>
      <c r="I117" s="51" t="s">
        <v>33</v>
      </c>
      <c r="J117" s="65" t="s">
        <v>492</v>
      </c>
      <c r="K117" s="51" t="s">
        <v>88</v>
      </c>
      <c r="L117" s="69"/>
      <c r="M117" s="51"/>
    </row>
    <row r="118" spans="1:13">
      <c r="A118" s="57" t="s">
        <v>509</v>
      </c>
      <c r="B118" s="47"/>
      <c r="C118" s="55">
        <v>2</v>
      </c>
      <c r="D118" s="57" t="s">
        <v>461</v>
      </c>
      <c r="E118" s="53" t="s">
        <v>483</v>
      </c>
      <c r="F118" s="41" t="s">
        <v>510</v>
      </c>
      <c r="G118" s="131" t="s">
        <v>511</v>
      </c>
      <c r="H118" s="42" t="s">
        <v>512</v>
      </c>
      <c r="I118" s="51" t="s">
        <v>33</v>
      </c>
      <c r="J118" s="65"/>
      <c r="K118" s="51" t="s">
        <v>20</v>
      </c>
      <c r="L118" s="69"/>
      <c r="M118" s="51"/>
    </row>
    <row r="119" spans="1:13">
      <c r="A119" s="57" t="s">
        <v>513</v>
      </c>
      <c r="B119" s="47">
        <v>1</v>
      </c>
      <c r="C119" s="55">
        <v>2</v>
      </c>
      <c r="D119" s="57" t="s">
        <v>461</v>
      </c>
      <c r="E119" s="53" t="s">
        <v>514</v>
      </c>
      <c r="F119" s="41" t="s">
        <v>515</v>
      </c>
      <c r="G119" s="130" t="s">
        <v>516</v>
      </c>
      <c r="H119" s="42" t="s">
        <v>405</v>
      </c>
      <c r="I119" s="51" t="s">
        <v>33</v>
      </c>
      <c r="J119" s="65" t="s">
        <v>517</v>
      </c>
      <c r="K119" s="51" t="s">
        <v>20</v>
      </c>
      <c r="L119" s="69"/>
      <c r="M119" s="51" t="s">
        <v>518</v>
      </c>
    </row>
    <row r="120" spans="1:13">
      <c r="A120" s="57" t="s">
        <v>519</v>
      </c>
      <c r="B120" s="47"/>
      <c r="C120" s="55">
        <v>2</v>
      </c>
      <c r="D120" s="57" t="s">
        <v>461</v>
      </c>
      <c r="E120" s="53" t="s">
        <v>514</v>
      </c>
      <c r="F120" s="41" t="s">
        <v>520</v>
      </c>
      <c r="G120" s="137" t="s">
        <v>521</v>
      </c>
      <c r="H120" s="42" t="s">
        <v>522</v>
      </c>
      <c r="I120" s="51" t="s">
        <v>33</v>
      </c>
      <c r="J120" s="65" t="s">
        <v>523</v>
      </c>
      <c r="K120" s="51" t="s">
        <v>20</v>
      </c>
      <c r="L120" s="69"/>
      <c r="M120" s="51"/>
    </row>
    <row r="121" spans="1:13">
      <c r="A121" s="57" t="s">
        <v>524</v>
      </c>
      <c r="B121" s="47"/>
      <c r="C121" s="55">
        <v>2</v>
      </c>
      <c r="D121" s="57" t="s">
        <v>461</v>
      </c>
      <c r="E121" s="53" t="s">
        <v>514</v>
      </c>
      <c r="F121" s="41" t="s">
        <v>520</v>
      </c>
      <c r="G121" s="137" t="s">
        <v>525</v>
      </c>
      <c r="H121" s="42" t="s">
        <v>526</v>
      </c>
      <c r="I121" s="51" t="s">
        <v>33</v>
      </c>
      <c r="J121" s="65" t="s">
        <v>523</v>
      </c>
      <c r="K121" s="51"/>
      <c r="L121" s="69"/>
      <c r="M121" s="51"/>
    </row>
    <row r="122" spans="1:13">
      <c r="A122" s="57" t="s">
        <v>527</v>
      </c>
      <c r="B122" s="47"/>
      <c r="C122" s="55">
        <v>2</v>
      </c>
      <c r="D122" s="57" t="s">
        <v>461</v>
      </c>
      <c r="E122" s="53" t="s">
        <v>514</v>
      </c>
      <c r="F122" s="41" t="s">
        <v>528</v>
      </c>
      <c r="G122" s="137" t="s">
        <v>529</v>
      </c>
      <c r="H122" s="42" t="s">
        <v>530</v>
      </c>
      <c r="I122" s="51" t="s">
        <v>33</v>
      </c>
      <c r="J122" s="65" t="s">
        <v>531</v>
      </c>
      <c r="K122" s="51" t="s">
        <v>20</v>
      </c>
      <c r="L122" s="69" t="s">
        <v>532</v>
      </c>
      <c r="M122" s="51" t="s">
        <v>533</v>
      </c>
    </row>
    <row r="123" spans="1:13">
      <c r="A123" s="57" t="s">
        <v>534</v>
      </c>
      <c r="B123" s="47"/>
      <c r="C123" s="55">
        <v>2</v>
      </c>
      <c r="D123" s="57" t="s">
        <v>461</v>
      </c>
      <c r="E123" s="53" t="s">
        <v>514</v>
      </c>
      <c r="F123" s="41" t="s">
        <v>535</v>
      </c>
      <c r="G123" s="137" t="s">
        <v>536</v>
      </c>
      <c r="H123" s="42" t="s">
        <v>537</v>
      </c>
      <c r="I123" s="51" t="s">
        <v>33</v>
      </c>
      <c r="J123" s="65" t="s">
        <v>531</v>
      </c>
      <c r="K123" s="51"/>
      <c r="L123" s="69" t="s">
        <v>538</v>
      </c>
      <c r="M123" s="51" t="s">
        <v>539</v>
      </c>
    </row>
    <row r="124" spans="1:13">
      <c r="A124" s="57" t="s">
        <v>540</v>
      </c>
      <c r="B124" s="47"/>
      <c r="C124" s="55">
        <v>3</v>
      </c>
      <c r="D124" s="57" t="s">
        <v>461</v>
      </c>
      <c r="E124" s="53" t="s">
        <v>514</v>
      </c>
      <c r="F124" s="41" t="s">
        <v>541</v>
      </c>
      <c r="G124" s="137" t="s">
        <v>542</v>
      </c>
      <c r="H124" s="42" t="s">
        <v>405</v>
      </c>
      <c r="I124" s="51" t="s">
        <v>33</v>
      </c>
      <c r="J124" s="63"/>
      <c r="K124" s="51" t="s">
        <v>20</v>
      </c>
      <c r="L124" s="69"/>
      <c r="M124" s="51"/>
    </row>
    <row r="125" spans="1:13">
      <c r="A125" s="57" t="s">
        <v>543</v>
      </c>
      <c r="B125" s="47"/>
      <c r="C125" s="55">
        <v>3</v>
      </c>
      <c r="D125" s="57" t="s">
        <v>461</v>
      </c>
      <c r="E125" s="53" t="s">
        <v>514</v>
      </c>
      <c r="F125" s="41" t="s">
        <v>544</v>
      </c>
      <c r="G125" s="137" t="s">
        <v>545</v>
      </c>
      <c r="H125" s="42" t="s">
        <v>546</v>
      </c>
      <c r="I125" s="51" t="s">
        <v>33</v>
      </c>
      <c r="J125" s="63"/>
      <c r="K125" s="51"/>
      <c r="L125" s="69"/>
      <c r="M125" s="51"/>
    </row>
    <row r="126" spans="1:13">
      <c r="A126" s="57" t="s">
        <v>547</v>
      </c>
      <c r="B126" s="47"/>
      <c r="C126" s="55">
        <v>3</v>
      </c>
      <c r="D126" s="57" t="s">
        <v>461</v>
      </c>
      <c r="E126" s="53" t="s">
        <v>514</v>
      </c>
      <c r="F126" s="41" t="s">
        <v>548</v>
      </c>
      <c r="G126" s="137" t="s">
        <v>549</v>
      </c>
      <c r="H126" s="42" t="s">
        <v>550</v>
      </c>
      <c r="I126" s="51" t="s">
        <v>33</v>
      </c>
      <c r="J126" s="63"/>
      <c r="K126" s="51" t="s">
        <v>20</v>
      </c>
      <c r="L126" s="69"/>
      <c r="M126" s="51"/>
    </row>
    <row r="127" spans="1:13">
      <c r="A127" s="57" t="s">
        <v>551</v>
      </c>
      <c r="B127" s="47"/>
      <c r="C127" s="55">
        <v>3</v>
      </c>
      <c r="D127" s="57" t="s">
        <v>461</v>
      </c>
      <c r="E127" s="53" t="s">
        <v>514</v>
      </c>
      <c r="F127" s="41" t="s">
        <v>552</v>
      </c>
      <c r="G127" s="137" t="s">
        <v>553</v>
      </c>
      <c r="H127" s="42" t="s">
        <v>554</v>
      </c>
      <c r="I127" s="51" t="s">
        <v>33</v>
      </c>
      <c r="J127" s="65" t="s">
        <v>555</v>
      </c>
      <c r="K127" s="51" t="s">
        <v>20</v>
      </c>
      <c r="L127" s="69"/>
      <c r="M127" s="51"/>
    </row>
    <row r="128" spans="1:13">
      <c r="A128" s="98" t="s">
        <v>556</v>
      </c>
      <c r="B128" s="47"/>
      <c r="C128" s="55">
        <v>2</v>
      </c>
      <c r="D128" s="57" t="s">
        <v>461</v>
      </c>
      <c r="E128" s="53" t="s">
        <v>557</v>
      </c>
      <c r="F128" s="33" t="s">
        <v>558</v>
      </c>
      <c r="G128" s="131" t="s">
        <v>559</v>
      </c>
      <c r="H128" s="42" t="s">
        <v>560</v>
      </c>
      <c r="I128" s="51" t="s">
        <v>33</v>
      </c>
      <c r="J128" s="65" t="s">
        <v>561</v>
      </c>
      <c r="K128" s="51" t="s">
        <v>20</v>
      </c>
      <c r="L128" s="69"/>
      <c r="M128" s="51" t="s">
        <v>562</v>
      </c>
    </row>
    <row r="129" spans="1:13">
      <c r="A129" s="98" t="s">
        <v>563</v>
      </c>
      <c r="B129" s="47">
        <v>1</v>
      </c>
      <c r="C129" s="55">
        <v>1</v>
      </c>
      <c r="D129" s="57" t="s">
        <v>461</v>
      </c>
      <c r="E129" s="53" t="s">
        <v>557</v>
      </c>
      <c r="F129" s="33" t="s">
        <v>564</v>
      </c>
      <c r="G129" s="130" t="s">
        <v>565</v>
      </c>
      <c r="H129" s="42" t="s">
        <v>560</v>
      </c>
      <c r="I129" s="51" t="s">
        <v>33</v>
      </c>
      <c r="J129" s="65"/>
      <c r="K129" s="51" t="s">
        <v>20</v>
      </c>
      <c r="L129" s="69"/>
      <c r="M129" s="51" t="s">
        <v>562</v>
      </c>
    </row>
    <row r="130" spans="1:13">
      <c r="A130" s="98" t="s">
        <v>566</v>
      </c>
      <c r="B130" s="47"/>
      <c r="C130" s="55">
        <v>2</v>
      </c>
      <c r="D130" s="57" t="s">
        <v>461</v>
      </c>
      <c r="E130" s="53" t="s">
        <v>557</v>
      </c>
      <c r="F130" s="36" t="s">
        <v>567</v>
      </c>
      <c r="G130" s="137" t="s">
        <v>568</v>
      </c>
      <c r="H130" s="42" t="s">
        <v>569</v>
      </c>
      <c r="I130" s="51" t="s">
        <v>33</v>
      </c>
      <c r="J130" s="65"/>
      <c r="K130" s="51" t="s">
        <v>88</v>
      </c>
      <c r="L130" s="69" t="s">
        <v>34</v>
      </c>
      <c r="M130" s="51"/>
    </row>
    <row r="131" spans="1:13">
      <c r="A131" s="98" t="s">
        <v>570</v>
      </c>
      <c r="B131" s="47">
        <v>3</v>
      </c>
      <c r="C131" s="55">
        <v>3</v>
      </c>
      <c r="D131" s="57" t="s">
        <v>461</v>
      </c>
      <c r="E131" s="53" t="s">
        <v>557</v>
      </c>
      <c r="F131" s="41" t="s">
        <v>571</v>
      </c>
      <c r="G131" s="130" t="s">
        <v>572</v>
      </c>
      <c r="H131" s="42" t="s">
        <v>405</v>
      </c>
      <c r="I131" s="51" t="s">
        <v>33</v>
      </c>
      <c r="J131" s="65" t="s">
        <v>573</v>
      </c>
      <c r="K131" s="51" t="s">
        <v>20</v>
      </c>
      <c r="L131" s="69" t="s">
        <v>34</v>
      </c>
      <c r="M131" s="51" t="s">
        <v>574</v>
      </c>
    </row>
    <row r="132" spans="1:13">
      <c r="A132" s="98" t="s">
        <v>575</v>
      </c>
      <c r="B132" s="47">
        <v>3</v>
      </c>
      <c r="C132" s="55">
        <v>3</v>
      </c>
      <c r="D132" s="57" t="s">
        <v>461</v>
      </c>
      <c r="E132" s="53" t="s">
        <v>557</v>
      </c>
      <c r="F132" s="41" t="s">
        <v>576</v>
      </c>
      <c r="G132" s="157" t="s">
        <v>577</v>
      </c>
      <c r="H132" s="42" t="s">
        <v>578</v>
      </c>
      <c r="I132" s="51" t="s">
        <v>33</v>
      </c>
      <c r="J132" s="65"/>
      <c r="K132" s="51" t="s">
        <v>20</v>
      </c>
      <c r="L132" s="69" t="s">
        <v>34</v>
      </c>
      <c r="M132" s="51"/>
    </row>
    <row r="133" spans="1:13">
      <c r="A133" s="98" t="s">
        <v>579</v>
      </c>
      <c r="B133" s="47">
        <v>3</v>
      </c>
      <c r="C133" s="55">
        <v>3</v>
      </c>
      <c r="D133" s="57" t="s">
        <v>461</v>
      </c>
      <c r="E133" s="53" t="s">
        <v>557</v>
      </c>
      <c r="F133" s="41" t="s">
        <v>576</v>
      </c>
      <c r="G133" s="157" t="s">
        <v>580</v>
      </c>
      <c r="H133" s="42" t="s">
        <v>581</v>
      </c>
      <c r="I133" s="51" t="s">
        <v>33</v>
      </c>
      <c r="J133" s="65"/>
      <c r="K133" s="51" t="s">
        <v>20</v>
      </c>
      <c r="L133" s="69" t="s">
        <v>34</v>
      </c>
      <c r="M133" s="51"/>
    </row>
    <row r="134" spans="1:13">
      <c r="A134" s="98" t="s">
        <v>582</v>
      </c>
      <c r="B134" s="47">
        <v>3</v>
      </c>
      <c r="C134" s="55">
        <v>3</v>
      </c>
      <c r="D134" s="57" t="s">
        <v>461</v>
      </c>
      <c r="E134" s="53" t="s">
        <v>557</v>
      </c>
      <c r="F134" s="41" t="s">
        <v>583</v>
      </c>
      <c r="G134" s="131" t="s">
        <v>584</v>
      </c>
      <c r="H134" s="42" t="s">
        <v>585</v>
      </c>
      <c r="I134" s="51" t="s">
        <v>33</v>
      </c>
      <c r="J134" s="65" t="s">
        <v>573</v>
      </c>
      <c r="K134" s="51" t="s">
        <v>20</v>
      </c>
      <c r="L134" s="69" t="s">
        <v>34</v>
      </c>
      <c r="M134" s="51"/>
    </row>
    <row r="135" spans="1:13">
      <c r="A135" s="98" t="s">
        <v>586</v>
      </c>
      <c r="B135" s="47">
        <v>3</v>
      </c>
      <c r="C135" s="55">
        <v>3</v>
      </c>
      <c r="D135" s="57" t="s">
        <v>461</v>
      </c>
      <c r="E135" s="53" t="s">
        <v>557</v>
      </c>
      <c r="F135" s="41" t="s">
        <v>587</v>
      </c>
      <c r="G135" s="137" t="s">
        <v>588</v>
      </c>
      <c r="H135" s="42" t="s">
        <v>589</v>
      </c>
      <c r="I135" s="51" t="s">
        <v>33</v>
      </c>
      <c r="J135" s="65"/>
      <c r="K135" s="51" t="s">
        <v>20</v>
      </c>
      <c r="L135" s="69" t="s">
        <v>34</v>
      </c>
      <c r="M135" s="51"/>
    </row>
    <row r="136" spans="1:13">
      <c r="A136" s="98" t="s">
        <v>590</v>
      </c>
      <c r="B136" s="47">
        <v>3</v>
      </c>
      <c r="C136" s="55">
        <v>3</v>
      </c>
      <c r="D136" s="57" t="s">
        <v>461</v>
      </c>
      <c r="E136" s="53" t="s">
        <v>557</v>
      </c>
      <c r="F136" s="41" t="s">
        <v>591</v>
      </c>
      <c r="G136" s="137" t="s">
        <v>592</v>
      </c>
      <c r="H136" s="42" t="s">
        <v>593</v>
      </c>
      <c r="I136" s="51" t="s">
        <v>33</v>
      </c>
      <c r="J136" s="65"/>
      <c r="K136" s="51" t="s">
        <v>20</v>
      </c>
      <c r="L136" s="69" t="s">
        <v>34</v>
      </c>
      <c r="M136" s="51"/>
    </row>
    <row r="137" spans="1:13">
      <c r="A137" s="98" t="s">
        <v>594</v>
      </c>
      <c r="B137" s="47"/>
      <c r="C137" s="55">
        <v>2</v>
      </c>
      <c r="D137" s="57" t="s">
        <v>461</v>
      </c>
      <c r="E137" s="53" t="s">
        <v>595</v>
      </c>
      <c r="F137" s="35" t="s">
        <v>596</v>
      </c>
      <c r="G137" s="132" t="s">
        <v>597</v>
      </c>
      <c r="H137" s="42" t="s">
        <v>598</v>
      </c>
      <c r="I137" s="51" t="s">
        <v>19</v>
      </c>
      <c r="J137" s="65"/>
      <c r="K137" s="51" t="s">
        <v>20</v>
      </c>
      <c r="L137" s="69"/>
      <c r="M137" s="51" t="s">
        <v>57</v>
      </c>
    </row>
    <row r="138" spans="1:13">
      <c r="A138" s="98" t="s">
        <v>599</v>
      </c>
      <c r="B138" s="47">
        <v>2</v>
      </c>
      <c r="C138" s="55">
        <v>2</v>
      </c>
      <c r="D138" s="57" t="s">
        <v>600</v>
      </c>
      <c r="E138" s="53" t="s">
        <v>162</v>
      </c>
      <c r="F138" s="35" t="s">
        <v>601</v>
      </c>
      <c r="G138" s="132" t="s">
        <v>602</v>
      </c>
      <c r="H138" s="42" t="s">
        <v>603</v>
      </c>
      <c r="I138" s="51" t="s">
        <v>33</v>
      </c>
      <c r="J138" s="65"/>
      <c r="K138" s="51"/>
      <c r="L138" s="69"/>
      <c r="M138" s="51" t="s">
        <v>57</v>
      </c>
    </row>
    <row r="139" spans="1:13">
      <c r="A139" s="98" t="s">
        <v>604</v>
      </c>
      <c r="B139" s="47">
        <v>1</v>
      </c>
      <c r="C139" s="55">
        <v>1</v>
      </c>
      <c r="D139" s="57" t="s">
        <v>600</v>
      </c>
      <c r="E139" s="53" t="s">
        <v>162</v>
      </c>
      <c r="F139" s="33" t="s">
        <v>605</v>
      </c>
      <c r="G139" s="137" t="s">
        <v>606</v>
      </c>
      <c r="H139" s="42" t="s">
        <v>405</v>
      </c>
      <c r="I139" s="51" t="s">
        <v>33</v>
      </c>
      <c r="J139" s="65"/>
      <c r="K139" s="51" t="s">
        <v>20</v>
      </c>
      <c r="L139" s="69"/>
      <c r="M139" s="51"/>
    </row>
    <row r="140" spans="1:13">
      <c r="A140" s="98" t="s">
        <v>607</v>
      </c>
      <c r="B140" s="47">
        <v>1</v>
      </c>
      <c r="C140" s="55">
        <v>1</v>
      </c>
      <c r="D140" s="57" t="s">
        <v>600</v>
      </c>
      <c r="E140" s="53" t="s">
        <v>162</v>
      </c>
      <c r="F140" s="33" t="s">
        <v>608</v>
      </c>
      <c r="G140" s="137" t="s">
        <v>609</v>
      </c>
      <c r="H140" s="42" t="s">
        <v>610</v>
      </c>
      <c r="I140" s="51" t="s">
        <v>33</v>
      </c>
      <c r="J140" s="65"/>
      <c r="K140" s="51" t="s">
        <v>20</v>
      </c>
      <c r="L140" s="69"/>
      <c r="M140" s="51"/>
    </row>
    <row r="141" spans="1:13">
      <c r="A141" s="98" t="s">
        <v>611</v>
      </c>
      <c r="B141" s="47"/>
      <c r="C141" s="55">
        <v>3</v>
      </c>
      <c r="D141" s="57" t="s">
        <v>600</v>
      </c>
      <c r="E141" s="53" t="s">
        <v>162</v>
      </c>
      <c r="F141" s="33" t="s">
        <v>612</v>
      </c>
      <c r="G141" s="137" t="s">
        <v>613</v>
      </c>
      <c r="H141" s="42" t="s">
        <v>258</v>
      </c>
      <c r="I141" s="51" t="s">
        <v>33</v>
      </c>
      <c r="J141" s="65" t="s">
        <v>614</v>
      </c>
      <c r="K141" s="51" t="s">
        <v>20</v>
      </c>
      <c r="L141" s="71"/>
      <c r="M141" s="51"/>
    </row>
    <row r="142" spans="1:13">
      <c r="A142" s="98" t="s">
        <v>615</v>
      </c>
      <c r="B142" s="47">
        <v>1</v>
      </c>
      <c r="C142" s="55">
        <v>1</v>
      </c>
      <c r="D142" s="57" t="s">
        <v>600</v>
      </c>
      <c r="E142" s="53" t="s">
        <v>616</v>
      </c>
      <c r="F142" s="35" t="s">
        <v>617</v>
      </c>
      <c r="G142" s="132" t="s">
        <v>618</v>
      </c>
      <c r="H142" s="42" t="s">
        <v>619</v>
      </c>
      <c r="I142" s="51" t="s">
        <v>33</v>
      </c>
      <c r="J142" s="65"/>
      <c r="K142" s="51"/>
      <c r="L142" s="69"/>
      <c r="M142" s="51" t="s">
        <v>57</v>
      </c>
    </row>
    <row r="143" spans="1:13">
      <c r="A143" s="98" t="s">
        <v>620</v>
      </c>
      <c r="B143" s="47">
        <v>1</v>
      </c>
      <c r="C143" s="55">
        <v>1</v>
      </c>
      <c r="D143" s="57" t="s">
        <v>600</v>
      </c>
      <c r="E143" s="53" t="s">
        <v>616</v>
      </c>
      <c r="F143" s="35" t="s">
        <v>621</v>
      </c>
      <c r="G143" s="132" t="s">
        <v>622</v>
      </c>
      <c r="H143" s="42" t="s">
        <v>623</v>
      </c>
      <c r="I143" s="51" t="s">
        <v>33</v>
      </c>
      <c r="J143" s="65"/>
      <c r="K143" s="51"/>
      <c r="L143" s="69"/>
      <c r="M143" s="51" t="s">
        <v>57</v>
      </c>
    </row>
    <row r="144" spans="1:13">
      <c r="A144" s="98" t="s">
        <v>624</v>
      </c>
      <c r="B144" s="47">
        <v>1</v>
      </c>
      <c r="C144" s="55">
        <v>1</v>
      </c>
      <c r="D144" s="57" t="s">
        <v>600</v>
      </c>
      <c r="E144" s="53" t="s">
        <v>616</v>
      </c>
      <c r="F144" s="35" t="s">
        <v>625</v>
      </c>
      <c r="G144" s="158" t="s">
        <v>626</v>
      </c>
      <c r="H144" s="42" t="s">
        <v>627</v>
      </c>
      <c r="I144" s="51" t="s">
        <v>33</v>
      </c>
      <c r="J144" s="65"/>
      <c r="K144" s="51"/>
      <c r="L144" s="69"/>
      <c r="M144" s="51" t="s">
        <v>57</v>
      </c>
    </row>
    <row r="145" spans="1:13">
      <c r="A145" s="98" t="s">
        <v>628</v>
      </c>
      <c r="B145" s="47">
        <v>2</v>
      </c>
      <c r="C145" s="55">
        <v>2</v>
      </c>
      <c r="D145" s="57" t="s">
        <v>600</v>
      </c>
      <c r="E145" s="53" t="s">
        <v>616</v>
      </c>
      <c r="F145" s="33" t="s">
        <v>629</v>
      </c>
      <c r="G145" s="130" t="s">
        <v>630</v>
      </c>
      <c r="H145" s="42" t="s">
        <v>631</v>
      </c>
      <c r="I145" s="51" t="s">
        <v>33</v>
      </c>
      <c r="J145" s="65" t="s">
        <v>555</v>
      </c>
      <c r="K145" s="51" t="s">
        <v>20</v>
      </c>
      <c r="L145" s="69"/>
      <c r="M145" s="51"/>
    </row>
    <row r="146" spans="1:13">
      <c r="A146" s="98" t="s">
        <v>632</v>
      </c>
      <c r="B146" s="47"/>
      <c r="C146" s="55">
        <v>2</v>
      </c>
      <c r="D146" s="57" t="s">
        <v>600</v>
      </c>
      <c r="E146" s="53" t="s">
        <v>616</v>
      </c>
      <c r="F146" s="33" t="s">
        <v>633</v>
      </c>
      <c r="G146" s="130" t="s">
        <v>634</v>
      </c>
      <c r="H146" s="42" t="s">
        <v>18</v>
      </c>
      <c r="I146" s="51" t="s">
        <v>33</v>
      </c>
      <c r="J146" s="65" t="s">
        <v>555</v>
      </c>
      <c r="K146" s="51" t="s">
        <v>123</v>
      </c>
      <c r="L146" s="69"/>
      <c r="M146" s="51"/>
    </row>
    <row r="147" spans="1:13">
      <c r="A147" s="98" t="s">
        <v>635</v>
      </c>
      <c r="B147" s="47"/>
      <c r="C147" s="55">
        <v>2</v>
      </c>
      <c r="D147" s="57" t="s">
        <v>600</v>
      </c>
      <c r="E147" s="53" t="s">
        <v>636</v>
      </c>
      <c r="F147" s="33" t="s">
        <v>637</v>
      </c>
      <c r="G147" s="137" t="s">
        <v>638</v>
      </c>
      <c r="H147" s="42" t="s">
        <v>18</v>
      </c>
      <c r="I147" s="51" t="s">
        <v>33</v>
      </c>
      <c r="J147" s="65"/>
      <c r="K147" s="51" t="s">
        <v>20</v>
      </c>
      <c r="L147" s="71"/>
      <c r="M147" s="51"/>
    </row>
    <row r="148" spans="1:13">
      <c r="A148" s="98" t="s">
        <v>639</v>
      </c>
      <c r="B148" s="47">
        <v>3</v>
      </c>
      <c r="C148" s="55">
        <v>3</v>
      </c>
      <c r="D148" s="57" t="s">
        <v>600</v>
      </c>
      <c r="E148" s="53" t="s">
        <v>640</v>
      </c>
      <c r="F148" s="33" t="s">
        <v>641</v>
      </c>
      <c r="G148" s="131" t="s">
        <v>642</v>
      </c>
      <c r="H148" s="42" t="s">
        <v>643</v>
      </c>
      <c r="I148" s="51" t="s">
        <v>33</v>
      </c>
      <c r="J148" s="65"/>
      <c r="K148" s="51" t="s">
        <v>20</v>
      </c>
      <c r="L148" s="69"/>
      <c r="M148" s="51"/>
    </row>
    <row r="149" spans="1:13">
      <c r="A149" s="98" t="s">
        <v>644</v>
      </c>
      <c r="B149" s="47">
        <v>3</v>
      </c>
      <c r="C149" s="55">
        <v>3</v>
      </c>
      <c r="D149" s="57" t="s">
        <v>600</v>
      </c>
      <c r="E149" s="53" t="s">
        <v>640</v>
      </c>
      <c r="F149" s="33" t="s">
        <v>645</v>
      </c>
      <c r="G149" s="131" t="s">
        <v>646</v>
      </c>
      <c r="H149" s="42" t="s">
        <v>647</v>
      </c>
      <c r="I149" s="51" t="s">
        <v>33</v>
      </c>
      <c r="J149" s="65"/>
      <c r="K149" s="51" t="s">
        <v>20</v>
      </c>
      <c r="L149" s="69"/>
      <c r="M149" s="51"/>
    </row>
    <row r="150" spans="1:13">
      <c r="A150" s="98" t="s">
        <v>648</v>
      </c>
      <c r="B150" s="47"/>
      <c r="C150" s="55">
        <v>3</v>
      </c>
      <c r="D150" s="57" t="s">
        <v>600</v>
      </c>
      <c r="E150" s="53" t="s">
        <v>649</v>
      </c>
      <c r="F150" s="33" t="s">
        <v>650</v>
      </c>
      <c r="G150" s="137" t="s">
        <v>651</v>
      </c>
      <c r="H150" s="42" t="s">
        <v>652</v>
      </c>
      <c r="I150" s="51" t="s">
        <v>33</v>
      </c>
      <c r="J150" s="65"/>
      <c r="K150" s="51" t="s">
        <v>20</v>
      </c>
      <c r="L150" s="69"/>
      <c r="M150" s="51"/>
    </row>
    <row r="151" spans="1:13">
      <c r="A151" s="98" t="s">
        <v>653</v>
      </c>
      <c r="B151" s="47"/>
      <c r="C151" s="55">
        <v>2</v>
      </c>
      <c r="D151" s="57" t="s">
        <v>600</v>
      </c>
      <c r="E151" s="53" t="s">
        <v>137</v>
      </c>
      <c r="F151" s="33" t="s">
        <v>654</v>
      </c>
      <c r="G151" s="137" t="s">
        <v>655</v>
      </c>
      <c r="H151" s="42" t="s">
        <v>656</v>
      </c>
      <c r="I151" s="51" t="s">
        <v>33</v>
      </c>
      <c r="J151" s="65"/>
      <c r="K151" s="51" t="s">
        <v>20</v>
      </c>
      <c r="L151" s="69"/>
      <c r="M151" s="51"/>
    </row>
    <row r="152" spans="1:13">
      <c r="A152" s="98" t="s">
        <v>657</v>
      </c>
      <c r="B152" s="47">
        <v>3</v>
      </c>
      <c r="C152" s="55">
        <v>3</v>
      </c>
      <c r="D152" s="57" t="s">
        <v>600</v>
      </c>
      <c r="E152" s="53" t="s">
        <v>137</v>
      </c>
      <c r="F152" s="33" t="s">
        <v>658</v>
      </c>
      <c r="G152" s="131" t="s">
        <v>659</v>
      </c>
      <c r="H152" s="42" t="s">
        <v>660</v>
      </c>
      <c r="I152" s="51" t="s">
        <v>33</v>
      </c>
      <c r="J152" s="65"/>
      <c r="K152" s="51" t="s">
        <v>20</v>
      </c>
      <c r="L152" s="69"/>
      <c r="M152" s="51"/>
    </row>
    <row r="153" spans="1:13">
      <c r="A153" s="98" t="s">
        <v>661</v>
      </c>
      <c r="B153" s="47">
        <v>2</v>
      </c>
      <c r="C153" s="55">
        <v>2</v>
      </c>
      <c r="D153" s="57" t="s">
        <v>600</v>
      </c>
      <c r="E153" s="53" t="s">
        <v>662</v>
      </c>
      <c r="F153" s="33" t="s">
        <v>663</v>
      </c>
      <c r="G153" s="137" t="s">
        <v>664</v>
      </c>
      <c r="H153" s="111" t="s">
        <v>665</v>
      </c>
      <c r="I153" s="51" t="s">
        <v>33</v>
      </c>
      <c r="J153" s="65"/>
      <c r="K153" s="51" t="s">
        <v>20</v>
      </c>
      <c r="L153" s="69"/>
      <c r="M153" s="51"/>
    </row>
    <row r="154" spans="1:13">
      <c r="A154" s="98" t="s">
        <v>666</v>
      </c>
      <c r="B154" s="47">
        <v>2</v>
      </c>
      <c r="C154" s="55">
        <v>3</v>
      </c>
      <c r="D154" s="57" t="s">
        <v>667</v>
      </c>
      <c r="E154" s="51" t="s">
        <v>162</v>
      </c>
      <c r="F154" s="36" t="s">
        <v>668</v>
      </c>
      <c r="G154" s="137" t="s">
        <v>669</v>
      </c>
      <c r="H154" s="42" t="s">
        <v>18</v>
      </c>
      <c r="I154" s="51" t="s">
        <v>33</v>
      </c>
      <c r="J154" s="65"/>
      <c r="K154" s="51" t="s">
        <v>20</v>
      </c>
      <c r="L154" s="69"/>
      <c r="M154" s="51"/>
    </row>
    <row r="155" spans="1:13">
      <c r="A155" s="98" t="s">
        <v>670</v>
      </c>
      <c r="B155" s="47">
        <v>2</v>
      </c>
      <c r="C155" s="55">
        <v>3</v>
      </c>
      <c r="D155" s="57" t="s">
        <v>667</v>
      </c>
      <c r="E155" s="51" t="s">
        <v>162</v>
      </c>
      <c r="F155" s="36" t="s">
        <v>671</v>
      </c>
      <c r="G155" s="137" t="s">
        <v>672</v>
      </c>
      <c r="H155" s="42" t="s">
        <v>18</v>
      </c>
      <c r="I155" s="51" t="s">
        <v>33</v>
      </c>
      <c r="J155" s="65"/>
      <c r="K155" s="51" t="s">
        <v>20</v>
      </c>
      <c r="L155" s="69"/>
      <c r="M155" s="51"/>
    </row>
    <row r="156" spans="1:13">
      <c r="A156" s="98" t="s">
        <v>673</v>
      </c>
      <c r="B156" s="47">
        <v>2</v>
      </c>
      <c r="C156" s="55">
        <v>3</v>
      </c>
      <c r="D156" s="57" t="s">
        <v>667</v>
      </c>
      <c r="E156" s="51" t="s">
        <v>162</v>
      </c>
      <c r="F156" s="36" t="s">
        <v>671</v>
      </c>
      <c r="G156" s="137" t="s">
        <v>674</v>
      </c>
      <c r="H156" s="42" t="s">
        <v>18</v>
      </c>
      <c r="I156" s="51" t="s">
        <v>33</v>
      </c>
      <c r="J156" s="65"/>
      <c r="K156" s="51" t="s">
        <v>20</v>
      </c>
      <c r="L156" s="69"/>
      <c r="M156" s="51"/>
    </row>
    <row r="157" spans="1:13">
      <c r="A157" s="98" t="s">
        <v>675</v>
      </c>
      <c r="B157" s="47">
        <v>2</v>
      </c>
      <c r="C157" s="55">
        <v>3</v>
      </c>
      <c r="D157" s="57" t="s">
        <v>667</v>
      </c>
      <c r="E157" s="51" t="s">
        <v>162</v>
      </c>
      <c r="F157" s="36" t="s">
        <v>671</v>
      </c>
      <c r="G157" s="137" t="s">
        <v>676</v>
      </c>
      <c r="H157" s="42" t="s">
        <v>18</v>
      </c>
      <c r="I157" s="51" t="s">
        <v>33</v>
      </c>
      <c r="J157" s="65"/>
      <c r="K157" s="51" t="s">
        <v>20</v>
      </c>
      <c r="L157" s="69"/>
      <c r="M157" s="51"/>
    </row>
    <row r="158" spans="1:13">
      <c r="A158" s="98" t="s">
        <v>677</v>
      </c>
      <c r="B158" s="47">
        <v>2</v>
      </c>
      <c r="C158" s="55">
        <v>3</v>
      </c>
      <c r="D158" s="57" t="s">
        <v>667</v>
      </c>
      <c r="E158" s="51" t="s">
        <v>162</v>
      </c>
      <c r="F158" s="36" t="s">
        <v>671</v>
      </c>
      <c r="G158" s="137" t="s">
        <v>678</v>
      </c>
      <c r="H158" s="42" t="s">
        <v>18</v>
      </c>
      <c r="I158" s="51" t="s">
        <v>33</v>
      </c>
      <c r="J158" s="65"/>
      <c r="K158" s="51" t="s">
        <v>20</v>
      </c>
      <c r="L158" s="69"/>
      <c r="M158" s="51"/>
    </row>
    <row r="159" spans="1:13">
      <c r="A159" s="98" t="s">
        <v>679</v>
      </c>
      <c r="B159" s="47">
        <v>2</v>
      </c>
      <c r="C159" s="55">
        <v>3</v>
      </c>
      <c r="D159" s="57" t="s">
        <v>667</v>
      </c>
      <c r="E159" s="51" t="s">
        <v>162</v>
      </c>
      <c r="F159" s="36" t="s">
        <v>671</v>
      </c>
      <c r="G159" s="137" t="s">
        <v>680</v>
      </c>
      <c r="H159" s="42" t="s">
        <v>18</v>
      </c>
      <c r="I159" s="51" t="s">
        <v>33</v>
      </c>
      <c r="J159" s="65"/>
      <c r="K159" s="51" t="s">
        <v>20</v>
      </c>
      <c r="L159" s="69"/>
      <c r="M159" s="51"/>
    </row>
    <row r="160" spans="1:13">
      <c r="A160" s="98" t="s">
        <v>681</v>
      </c>
      <c r="B160" s="47">
        <v>2</v>
      </c>
      <c r="C160" s="55">
        <v>3</v>
      </c>
      <c r="D160" s="57" t="s">
        <v>667</v>
      </c>
      <c r="E160" s="51" t="s">
        <v>162</v>
      </c>
      <c r="F160" s="36" t="s">
        <v>671</v>
      </c>
      <c r="G160" s="137" t="s">
        <v>682</v>
      </c>
      <c r="H160" s="42" t="s">
        <v>18</v>
      </c>
      <c r="I160" s="51" t="s">
        <v>33</v>
      </c>
      <c r="J160" s="65"/>
      <c r="K160" s="51" t="s">
        <v>20</v>
      </c>
      <c r="L160" s="69"/>
      <c r="M160" s="51"/>
    </row>
    <row r="161" spans="1:13">
      <c r="A161" s="98" t="s">
        <v>683</v>
      </c>
      <c r="B161" s="47">
        <v>3</v>
      </c>
      <c r="C161" s="55">
        <v>3</v>
      </c>
      <c r="D161" s="57" t="s">
        <v>346</v>
      </c>
      <c r="E161" s="53" t="s">
        <v>684</v>
      </c>
      <c r="F161" s="34" t="s">
        <v>685</v>
      </c>
      <c r="G161" s="151" t="s">
        <v>686</v>
      </c>
      <c r="H161" s="44" t="s">
        <v>687</v>
      </c>
      <c r="I161" s="51" t="s">
        <v>33</v>
      </c>
      <c r="J161" s="65"/>
      <c r="K161" s="51" t="s">
        <v>20</v>
      </c>
      <c r="L161" s="69" t="s">
        <v>34</v>
      </c>
      <c r="M161" s="51"/>
    </row>
    <row r="162" spans="1:13">
      <c r="A162" s="98" t="s">
        <v>688</v>
      </c>
      <c r="B162" s="47">
        <v>3</v>
      </c>
      <c r="C162" s="55">
        <v>3</v>
      </c>
      <c r="D162" s="57" t="s">
        <v>346</v>
      </c>
      <c r="E162" s="53" t="s">
        <v>684</v>
      </c>
      <c r="F162" s="34" t="s">
        <v>689</v>
      </c>
      <c r="G162" s="151" t="s">
        <v>690</v>
      </c>
      <c r="H162" s="44" t="s">
        <v>691</v>
      </c>
      <c r="I162" s="51" t="s">
        <v>33</v>
      </c>
      <c r="J162" s="65"/>
      <c r="K162" s="51" t="s">
        <v>20</v>
      </c>
      <c r="L162" s="69" t="s">
        <v>34</v>
      </c>
      <c r="M162" s="51"/>
    </row>
    <row r="163" spans="1:13">
      <c r="A163" s="98" t="s">
        <v>692</v>
      </c>
      <c r="B163" s="47">
        <v>3</v>
      </c>
      <c r="C163" s="55">
        <v>3</v>
      </c>
      <c r="D163" s="57" t="s">
        <v>346</v>
      </c>
      <c r="E163" s="53" t="s">
        <v>693</v>
      </c>
      <c r="F163" s="34" t="s">
        <v>694</v>
      </c>
      <c r="G163" s="159" t="s">
        <v>695</v>
      </c>
      <c r="H163" s="44" t="s">
        <v>696</v>
      </c>
      <c r="I163" s="51" t="s">
        <v>33</v>
      </c>
      <c r="J163" s="65"/>
      <c r="K163" s="51" t="s">
        <v>20</v>
      </c>
      <c r="L163" s="69" t="s">
        <v>34</v>
      </c>
      <c r="M163" s="51"/>
    </row>
    <row r="164" spans="1:13">
      <c r="A164" s="98" t="s">
        <v>697</v>
      </c>
      <c r="B164" s="47">
        <v>3</v>
      </c>
      <c r="C164" s="55">
        <v>3</v>
      </c>
      <c r="D164" s="57" t="s">
        <v>346</v>
      </c>
      <c r="E164" s="53" t="s">
        <v>698</v>
      </c>
      <c r="F164" s="34" t="s">
        <v>699</v>
      </c>
      <c r="G164" s="159" t="s">
        <v>700</v>
      </c>
      <c r="H164" s="44" t="s">
        <v>701</v>
      </c>
      <c r="I164" s="51" t="s">
        <v>33</v>
      </c>
      <c r="J164" s="65" t="s">
        <v>702</v>
      </c>
      <c r="K164" s="51" t="s">
        <v>20</v>
      </c>
      <c r="L164" s="69" t="s">
        <v>34</v>
      </c>
      <c r="M164" s="51"/>
    </row>
    <row r="165" spans="1:13">
      <c r="A165" s="98" t="s">
        <v>703</v>
      </c>
      <c r="B165" s="47">
        <v>1</v>
      </c>
      <c r="C165" s="55">
        <v>1</v>
      </c>
      <c r="D165" s="57" t="s">
        <v>346</v>
      </c>
      <c r="E165" s="53" t="s">
        <v>698</v>
      </c>
      <c r="F165" s="34" t="s">
        <v>704</v>
      </c>
      <c r="G165" s="159" t="s">
        <v>705</v>
      </c>
      <c r="H165" s="44"/>
      <c r="I165" s="51" t="s">
        <v>33</v>
      </c>
      <c r="J165" s="65" t="s">
        <v>706</v>
      </c>
      <c r="K165" s="51" t="s">
        <v>20</v>
      </c>
      <c r="L165" s="69"/>
      <c r="M165" s="51"/>
    </row>
    <row r="166" spans="1:13">
      <c r="A166" s="98" t="s">
        <v>707</v>
      </c>
      <c r="B166" s="47">
        <v>2</v>
      </c>
      <c r="C166" s="55">
        <v>2</v>
      </c>
      <c r="D166" s="57" t="s">
        <v>346</v>
      </c>
      <c r="E166" s="53" t="s">
        <v>698</v>
      </c>
      <c r="F166" s="34" t="s">
        <v>708</v>
      </c>
      <c r="G166" s="159" t="s">
        <v>709</v>
      </c>
      <c r="H166" s="44" t="s">
        <v>710</v>
      </c>
      <c r="I166" s="51" t="s">
        <v>33</v>
      </c>
      <c r="J166" s="65" t="s">
        <v>711</v>
      </c>
      <c r="K166" s="51" t="s">
        <v>20</v>
      </c>
      <c r="L166" s="69"/>
      <c r="M166" s="51"/>
    </row>
    <row r="167" spans="1:13">
      <c r="A167" s="98" t="s">
        <v>712</v>
      </c>
      <c r="B167" s="47">
        <v>3</v>
      </c>
      <c r="C167" s="55">
        <v>3</v>
      </c>
      <c r="D167" s="57" t="s">
        <v>346</v>
      </c>
      <c r="E167" s="53" t="s">
        <v>698</v>
      </c>
      <c r="F167" s="34" t="s">
        <v>713</v>
      </c>
      <c r="G167" s="159" t="s">
        <v>709</v>
      </c>
      <c r="H167" s="44" t="s">
        <v>714</v>
      </c>
      <c r="I167" s="51" t="s">
        <v>33</v>
      </c>
      <c r="J167" s="65" t="s">
        <v>715</v>
      </c>
      <c r="K167" s="51" t="s">
        <v>20</v>
      </c>
      <c r="L167" s="69"/>
      <c r="M167" s="51"/>
    </row>
    <row r="168" spans="1:13">
      <c r="A168" s="98" t="s">
        <v>716</v>
      </c>
      <c r="B168" s="47">
        <v>3</v>
      </c>
      <c r="C168" s="55">
        <v>3</v>
      </c>
      <c r="D168" s="57" t="s">
        <v>346</v>
      </c>
      <c r="E168" s="53" t="s">
        <v>717</v>
      </c>
      <c r="F168" s="34" t="s">
        <v>718</v>
      </c>
      <c r="G168" s="159" t="s">
        <v>719</v>
      </c>
      <c r="H168" s="44" t="s">
        <v>157</v>
      </c>
      <c r="I168" s="51" t="s">
        <v>33</v>
      </c>
      <c r="J168" s="65" t="s">
        <v>720</v>
      </c>
      <c r="K168" s="51" t="s">
        <v>20</v>
      </c>
      <c r="L168" s="69" t="s">
        <v>34</v>
      </c>
      <c r="M168" s="51"/>
    </row>
    <row r="169" spans="1:13">
      <c r="A169" s="98" t="s">
        <v>721</v>
      </c>
      <c r="B169" s="47">
        <v>3</v>
      </c>
      <c r="C169" s="55">
        <v>3</v>
      </c>
      <c r="D169" s="57" t="s">
        <v>346</v>
      </c>
      <c r="E169" s="53" t="s">
        <v>717</v>
      </c>
      <c r="F169" s="34" t="s">
        <v>722</v>
      </c>
      <c r="G169" s="159" t="s">
        <v>723</v>
      </c>
      <c r="H169" s="44" t="s">
        <v>724</v>
      </c>
      <c r="I169" s="51" t="s">
        <v>33</v>
      </c>
      <c r="J169" s="65"/>
      <c r="K169" s="51" t="s">
        <v>20</v>
      </c>
      <c r="L169" s="69" t="s">
        <v>34</v>
      </c>
      <c r="M169" s="51"/>
    </row>
    <row r="170" spans="1:13">
      <c r="A170" s="98" t="s">
        <v>725</v>
      </c>
      <c r="B170" s="47">
        <v>3</v>
      </c>
      <c r="C170" s="55">
        <v>3</v>
      </c>
      <c r="D170" s="57" t="s">
        <v>346</v>
      </c>
      <c r="E170" s="53" t="s">
        <v>717</v>
      </c>
      <c r="F170" s="34" t="s">
        <v>726</v>
      </c>
      <c r="G170" s="159" t="s">
        <v>727</v>
      </c>
      <c r="H170" s="44" t="s">
        <v>728</v>
      </c>
      <c r="I170" s="51" t="s">
        <v>33</v>
      </c>
      <c r="J170" s="65" t="s">
        <v>729</v>
      </c>
      <c r="K170" s="51" t="s">
        <v>20</v>
      </c>
      <c r="L170" s="69" t="s">
        <v>34</v>
      </c>
      <c r="M170" s="51"/>
    </row>
    <row r="171" spans="1:13">
      <c r="A171" s="98" t="s">
        <v>730</v>
      </c>
      <c r="B171" s="47">
        <v>3</v>
      </c>
      <c r="C171" s="55">
        <v>3</v>
      </c>
      <c r="D171" s="57" t="s">
        <v>346</v>
      </c>
      <c r="E171" s="53" t="s">
        <v>717</v>
      </c>
      <c r="F171" s="34" t="s">
        <v>731</v>
      </c>
      <c r="G171" s="159" t="s">
        <v>732</v>
      </c>
      <c r="H171" s="44" t="s">
        <v>733</v>
      </c>
      <c r="I171" s="51" t="s">
        <v>33</v>
      </c>
      <c r="J171" s="65" t="s">
        <v>734</v>
      </c>
      <c r="K171" s="51" t="s">
        <v>20</v>
      </c>
      <c r="L171" s="69"/>
      <c r="M171" s="51"/>
    </row>
    <row r="172" spans="1:13">
      <c r="A172" s="98" t="s">
        <v>735</v>
      </c>
      <c r="B172" s="47">
        <v>3</v>
      </c>
      <c r="C172" s="55">
        <v>3</v>
      </c>
      <c r="D172" s="57" t="s">
        <v>346</v>
      </c>
      <c r="E172" s="53" t="s">
        <v>232</v>
      </c>
      <c r="F172" s="34" t="s">
        <v>736</v>
      </c>
      <c r="G172" s="151" t="s">
        <v>737</v>
      </c>
      <c r="H172" s="44" t="s">
        <v>738</v>
      </c>
      <c r="I172" s="51" t="s">
        <v>33</v>
      </c>
      <c r="J172" s="65"/>
      <c r="K172" s="51" t="s">
        <v>88</v>
      </c>
      <c r="L172" s="69" t="s">
        <v>34</v>
      </c>
      <c r="M172" s="51"/>
    </row>
    <row r="173" spans="1:13">
      <c r="A173" s="98" t="s">
        <v>739</v>
      </c>
      <c r="B173" s="47">
        <v>3</v>
      </c>
      <c r="C173" s="55">
        <v>3</v>
      </c>
      <c r="D173" s="57" t="s">
        <v>346</v>
      </c>
      <c r="E173" s="53" t="s">
        <v>232</v>
      </c>
      <c r="F173" s="33" t="s">
        <v>740</v>
      </c>
      <c r="G173" s="151" t="s">
        <v>741</v>
      </c>
      <c r="H173" s="44" t="s">
        <v>157</v>
      </c>
      <c r="I173" s="51" t="s">
        <v>33</v>
      </c>
      <c r="J173" s="65"/>
      <c r="K173" s="51" t="s">
        <v>20</v>
      </c>
      <c r="L173" s="69"/>
      <c r="M173" s="51"/>
    </row>
    <row r="174" spans="1:13">
      <c r="A174" s="98" t="s">
        <v>742</v>
      </c>
      <c r="B174" s="47">
        <v>3</v>
      </c>
      <c r="C174" s="55">
        <v>3</v>
      </c>
      <c r="D174" s="57" t="s">
        <v>346</v>
      </c>
      <c r="E174" s="53" t="s">
        <v>743</v>
      </c>
      <c r="F174" s="34" t="s">
        <v>744</v>
      </c>
      <c r="G174" s="159" t="s">
        <v>745</v>
      </c>
      <c r="H174" s="44" t="s">
        <v>157</v>
      </c>
      <c r="I174" s="51" t="s">
        <v>33</v>
      </c>
      <c r="J174" s="65" t="s">
        <v>746</v>
      </c>
      <c r="K174" s="51" t="s">
        <v>20</v>
      </c>
      <c r="L174" s="69" t="s">
        <v>34</v>
      </c>
      <c r="M174" s="51"/>
    </row>
    <row r="175" spans="1:13">
      <c r="A175" s="98" t="s">
        <v>747</v>
      </c>
      <c r="B175" s="47">
        <v>2</v>
      </c>
      <c r="C175" s="55">
        <v>2</v>
      </c>
      <c r="D175" s="57" t="s">
        <v>346</v>
      </c>
      <c r="E175" s="53" t="s">
        <v>748</v>
      </c>
      <c r="F175" s="34" t="s">
        <v>749</v>
      </c>
      <c r="G175" s="151" t="s">
        <v>750</v>
      </c>
      <c r="H175" s="44" t="s">
        <v>751</v>
      </c>
      <c r="I175" s="51" t="s">
        <v>33</v>
      </c>
      <c r="J175" s="65" t="s">
        <v>752</v>
      </c>
      <c r="K175" s="51" t="s">
        <v>88</v>
      </c>
      <c r="L175" s="69" t="s">
        <v>34</v>
      </c>
      <c r="M175" s="51"/>
    </row>
    <row r="176" spans="1:13">
      <c r="A176" s="98" t="s">
        <v>753</v>
      </c>
      <c r="B176" s="47">
        <v>2</v>
      </c>
      <c r="C176" s="55">
        <v>1</v>
      </c>
      <c r="D176" s="57" t="s">
        <v>346</v>
      </c>
      <c r="E176" s="53" t="s">
        <v>748</v>
      </c>
      <c r="F176" s="33" t="s">
        <v>754</v>
      </c>
      <c r="G176" s="151" t="s">
        <v>755</v>
      </c>
      <c r="H176" s="44" t="s">
        <v>157</v>
      </c>
      <c r="I176" s="51" t="s">
        <v>33</v>
      </c>
      <c r="J176" s="65" t="s">
        <v>756</v>
      </c>
      <c r="K176" s="51" t="s">
        <v>88</v>
      </c>
      <c r="L176" s="69"/>
      <c r="M176" s="51"/>
    </row>
    <row r="177" spans="1:13">
      <c r="A177" s="98" t="s">
        <v>757</v>
      </c>
      <c r="B177" s="47">
        <v>3</v>
      </c>
      <c r="C177" s="55">
        <v>3</v>
      </c>
      <c r="D177" s="57" t="s">
        <v>346</v>
      </c>
      <c r="E177" s="53" t="s">
        <v>137</v>
      </c>
      <c r="F177" s="33" t="s">
        <v>758</v>
      </c>
      <c r="G177" s="151" t="s">
        <v>759</v>
      </c>
      <c r="H177" s="44" t="s">
        <v>157</v>
      </c>
      <c r="I177" s="51" t="s">
        <v>33</v>
      </c>
      <c r="J177" s="65"/>
      <c r="K177" s="51" t="s">
        <v>88</v>
      </c>
      <c r="L177" s="69"/>
      <c r="M177" s="51"/>
    </row>
    <row r="178" spans="1:13">
      <c r="A178" s="98" t="s">
        <v>760</v>
      </c>
      <c r="B178" s="47">
        <v>3</v>
      </c>
      <c r="C178" s="55">
        <v>3</v>
      </c>
      <c r="D178" s="57" t="s">
        <v>346</v>
      </c>
      <c r="E178" s="53" t="s">
        <v>662</v>
      </c>
      <c r="F178" s="34" t="s">
        <v>761</v>
      </c>
      <c r="G178" s="151" t="s">
        <v>762</v>
      </c>
      <c r="H178" s="44" t="s">
        <v>763</v>
      </c>
      <c r="I178" s="51" t="s">
        <v>33</v>
      </c>
      <c r="J178" s="65" t="s">
        <v>764</v>
      </c>
      <c r="K178" s="51" t="s">
        <v>20</v>
      </c>
      <c r="L178" s="69" t="s">
        <v>34</v>
      </c>
      <c r="M178" s="51"/>
    </row>
    <row r="179" spans="1:13">
      <c r="A179" s="98" t="s">
        <v>765</v>
      </c>
      <c r="B179" s="47">
        <v>3</v>
      </c>
      <c r="C179" s="55">
        <v>3</v>
      </c>
      <c r="D179" s="57" t="s">
        <v>346</v>
      </c>
      <c r="E179" s="53" t="s">
        <v>662</v>
      </c>
      <c r="F179" s="34" t="s">
        <v>766</v>
      </c>
      <c r="G179" s="151" t="s">
        <v>767</v>
      </c>
      <c r="H179" s="44" t="s">
        <v>768</v>
      </c>
      <c r="I179" s="51" t="s">
        <v>33</v>
      </c>
      <c r="J179" s="65" t="s">
        <v>764</v>
      </c>
      <c r="K179" s="51" t="s">
        <v>88</v>
      </c>
      <c r="L179" s="69" t="s">
        <v>34</v>
      </c>
      <c r="M179" s="51"/>
    </row>
    <row r="180" spans="1:13">
      <c r="A180" s="98" t="s">
        <v>769</v>
      </c>
      <c r="B180" s="47">
        <v>3</v>
      </c>
      <c r="C180" s="55">
        <v>3</v>
      </c>
      <c r="D180" s="57" t="s">
        <v>346</v>
      </c>
      <c r="E180" s="53" t="s">
        <v>662</v>
      </c>
      <c r="F180" s="34" t="s">
        <v>770</v>
      </c>
      <c r="G180" s="151" t="s">
        <v>771</v>
      </c>
      <c r="H180" s="44" t="s">
        <v>768</v>
      </c>
      <c r="I180" s="51" t="s">
        <v>33</v>
      </c>
      <c r="J180" s="65" t="s">
        <v>772</v>
      </c>
      <c r="K180" s="51" t="s">
        <v>88</v>
      </c>
      <c r="L180" s="69" t="s">
        <v>34</v>
      </c>
      <c r="M180" s="51"/>
    </row>
    <row r="181" spans="1:13">
      <c r="A181" s="98" t="s">
        <v>773</v>
      </c>
      <c r="B181" s="47">
        <v>3</v>
      </c>
      <c r="C181" s="55">
        <v>3</v>
      </c>
      <c r="D181" s="57" t="s">
        <v>346</v>
      </c>
      <c r="E181" s="53" t="s">
        <v>662</v>
      </c>
      <c r="F181" s="34" t="s">
        <v>774</v>
      </c>
      <c r="G181" s="151" t="s">
        <v>775</v>
      </c>
      <c r="H181" s="44" t="s">
        <v>763</v>
      </c>
      <c r="I181" s="51" t="s">
        <v>33</v>
      </c>
      <c r="J181" s="65" t="s">
        <v>772</v>
      </c>
      <c r="K181" s="51" t="s">
        <v>20</v>
      </c>
      <c r="L181" s="69" t="s">
        <v>34</v>
      </c>
      <c r="M181" s="51"/>
    </row>
    <row r="182" spans="1:13">
      <c r="A182" s="98" t="s">
        <v>776</v>
      </c>
      <c r="B182" s="47">
        <v>3</v>
      </c>
      <c r="C182" s="55">
        <v>3</v>
      </c>
      <c r="D182" s="57" t="s">
        <v>346</v>
      </c>
      <c r="E182" s="53" t="s">
        <v>662</v>
      </c>
      <c r="F182" s="34" t="s">
        <v>777</v>
      </c>
      <c r="G182" s="151" t="s">
        <v>778</v>
      </c>
      <c r="H182" s="44" t="s">
        <v>763</v>
      </c>
      <c r="I182" s="51" t="s">
        <v>33</v>
      </c>
      <c r="J182" s="65"/>
      <c r="K182" s="51"/>
      <c r="L182" s="69"/>
      <c r="M182" s="51"/>
    </row>
    <row r="183" spans="1:13">
      <c r="A183" s="98" t="s">
        <v>779</v>
      </c>
      <c r="B183" s="47">
        <v>3</v>
      </c>
      <c r="C183" s="55">
        <v>3</v>
      </c>
      <c r="D183" s="57" t="s">
        <v>346</v>
      </c>
      <c r="E183" s="53" t="s">
        <v>662</v>
      </c>
      <c r="F183" s="34" t="s">
        <v>780</v>
      </c>
      <c r="G183" s="160" t="s">
        <v>781</v>
      </c>
      <c r="H183" s="44" t="s">
        <v>782</v>
      </c>
      <c r="I183" s="51" t="s">
        <v>33</v>
      </c>
      <c r="J183" s="65" t="s">
        <v>783</v>
      </c>
      <c r="K183" s="51" t="s">
        <v>20</v>
      </c>
      <c r="L183" s="69" t="s">
        <v>34</v>
      </c>
      <c r="M183" s="51"/>
    </row>
    <row r="184" spans="1:13">
      <c r="A184" s="98" t="s">
        <v>784</v>
      </c>
      <c r="B184" s="47">
        <v>2</v>
      </c>
      <c r="C184" s="55">
        <v>2</v>
      </c>
      <c r="D184" s="57" t="s">
        <v>785</v>
      </c>
      <c r="E184" s="51" t="s">
        <v>162</v>
      </c>
      <c r="F184" s="36" t="s">
        <v>786</v>
      </c>
      <c r="G184" s="145" t="s">
        <v>787</v>
      </c>
      <c r="H184" s="43" t="s">
        <v>788</v>
      </c>
      <c r="I184" s="51" t="s">
        <v>33</v>
      </c>
      <c r="J184" s="65" t="s">
        <v>789</v>
      </c>
      <c r="K184" s="51" t="s">
        <v>20</v>
      </c>
      <c r="L184" s="69" t="s">
        <v>790</v>
      </c>
      <c r="M184" s="51"/>
    </row>
    <row r="185" spans="1:13">
      <c r="A185" s="98" t="s">
        <v>791</v>
      </c>
      <c r="B185" s="47">
        <v>2</v>
      </c>
      <c r="C185" s="55">
        <v>3</v>
      </c>
      <c r="D185" s="57" t="s">
        <v>785</v>
      </c>
      <c r="E185" s="59" t="s">
        <v>162</v>
      </c>
      <c r="F185" s="34" t="s">
        <v>792</v>
      </c>
      <c r="G185" s="130" t="s">
        <v>793</v>
      </c>
      <c r="H185" s="42" t="s">
        <v>794</v>
      </c>
      <c r="I185" s="51" t="s">
        <v>33</v>
      </c>
      <c r="J185" s="65"/>
      <c r="K185" s="51" t="s">
        <v>20</v>
      </c>
      <c r="L185" s="70"/>
      <c r="M185" s="51"/>
    </row>
    <row r="186" spans="1:13">
      <c r="A186" s="98" t="s">
        <v>795</v>
      </c>
      <c r="B186" s="47">
        <v>2</v>
      </c>
      <c r="C186" s="55">
        <v>3</v>
      </c>
      <c r="D186" s="57" t="s">
        <v>785</v>
      </c>
      <c r="E186" s="59" t="s">
        <v>162</v>
      </c>
      <c r="F186" s="34" t="s">
        <v>792</v>
      </c>
      <c r="G186" s="130" t="s">
        <v>796</v>
      </c>
      <c r="H186" s="42" t="s">
        <v>797</v>
      </c>
      <c r="I186" s="51" t="s">
        <v>33</v>
      </c>
      <c r="J186" s="65"/>
      <c r="K186" s="51" t="s">
        <v>20</v>
      </c>
      <c r="L186" s="70"/>
      <c r="M186" s="51"/>
    </row>
    <row r="187" spans="1:13">
      <c r="A187" s="98" t="s">
        <v>798</v>
      </c>
      <c r="B187" s="47">
        <v>2</v>
      </c>
      <c r="C187" s="55">
        <v>3</v>
      </c>
      <c r="D187" s="57" t="s">
        <v>785</v>
      </c>
      <c r="E187" s="59" t="s">
        <v>162</v>
      </c>
      <c r="F187" s="34" t="s">
        <v>792</v>
      </c>
      <c r="G187" s="130" t="s">
        <v>799</v>
      </c>
      <c r="H187" s="42" t="s">
        <v>800</v>
      </c>
      <c r="I187" s="51" t="s">
        <v>33</v>
      </c>
      <c r="J187" s="65"/>
      <c r="K187" s="51" t="s">
        <v>20</v>
      </c>
      <c r="L187" s="70"/>
      <c r="M187" s="51"/>
    </row>
    <row r="188" spans="1:13">
      <c r="A188" s="98" t="s">
        <v>801</v>
      </c>
      <c r="B188" s="47">
        <v>1</v>
      </c>
      <c r="C188" s="55">
        <v>1</v>
      </c>
      <c r="D188" s="57" t="s">
        <v>785</v>
      </c>
      <c r="E188" s="59" t="s">
        <v>162</v>
      </c>
      <c r="F188" s="33" t="s">
        <v>802</v>
      </c>
      <c r="G188" s="130" t="s">
        <v>803</v>
      </c>
      <c r="H188" s="42" t="s">
        <v>804</v>
      </c>
      <c r="I188" s="51" t="s">
        <v>33</v>
      </c>
      <c r="J188" s="65"/>
      <c r="K188" s="51" t="s">
        <v>20</v>
      </c>
      <c r="L188" s="69"/>
      <c r="M188" s="51"/>
    </row>
    <row r="189" spans="1:13">
      <c r="A189" s="98" t="s">
        <v>805</v>
      </c>
      <c r="B189" s="47">
        <v>2</v>
      </c>
      <c r="C189" s="55">
        <v>2</v>
      </c>
      <c r="D189" s="57" t="s">
        <v>785</v>
      </c>
      <c r="E189" s="59" t="s">
        <v>162</v>
      </c>
      <c r="F189" s="33" t="s">
        <v>806</v>
      </c>
      <c r="G189" s="130" t="s">
        <v>807</v>
      </c>
      <c r="H189" s="42" t="s">
        <v>808</v>
      </c>
      <c r="I189" s="51" t="s">
        <v>33</v>
      </c>
      <c r="J189" s="65"/>
      <c r="K189" s="51" t="s">
        <v>123</v>
      </c>
      <c r="L189" s="69"/>
      <c r="M189" s="51"/>
    </row>
    <row r="190" spans="1:13">
      <c r="A190" s="98" t="s">
        <v>809</v>
      </c>
      <c r="B190" s="47">
        <v>1</v>
      </c>
      <c r="C190" s="55">
        <v>1</v>
      </c>
      <c r="D190" s="57" t="s">
        <v>785</v>
      </c>
      <c r="E190" s="59" t="s">
        <v>162</v>
      </c>
      <c r="F190" s="39" t="s">
        <v>810</v>
      </c>
      <c r="G190" s="151" t="s">
        <v>811</v>
      </c>
      <c r="H190" s="44" t="s">
        <v>812</v>
      </c>
      <c r="I190" s="51" t="s">
        <v>33</v>
      </c>
      <c r="J190" s="65" t="s">
        <v>813</v>
      </c>
      <c r="K190" s="51" t="s">
        <v>20</v>
      </c>
      <c r="L190" s="69" t="s">
        <v>34</v>
      </c>
      <c r="M190" s="51"/>
    </row>
    <row r="191" spans="1:13">
      <c r="A191" s="98" t="s">
        <v>814</v>
      </c>
      <c r="B191" s="47">
        <v>2</v>
      </c>
      <c r="C191" s="55">
        <v>2</v>
      </c>
      <c r="D191" s="57" t="s">
        <v>785</v>
      </c>
      <c r="E191" s="59" t="s">
        <v>162</v>
      </c>
      <c r="F191" s="39" t="s">
        <v>815</v>
      </c>
      <c r="G191" s="151" t="s">
        <v>816</v>
      </c>
      <c r="H191" s="44" t="s">
        <v>817</v>
      </c>
      <c r="I191" s="51" t="s">
        <v>33</v>
      </c>
      <c r="J191" s="65" t="s">
        <v>818</v>
      </c>
      <c r="K191" s="51" t="s">
        <v>20</v>
      </c>
      <c r="L191" s="69" t="s">
        <v>34</v>
      </c>
      <c r="M191" s="51"/>
    </row>
    <row r="192" spans="1:13">
      <c r="A192" s="98" t="s">
        <v>819</v>
      </c>
      <c r="B192" s="47">
        <v>3</v>
      </c>
      <c r="C192" s="55">
        <v>3</v>
      </c>
      <c r="D192" s="57" t="s">
        <v>785</v>
      </c>
      <c r="E192" s="59" t="s">
        <v>162</v>
      </c>
      <c r="F192" s="39" t="s">
        <v>820</v>
      </c>
      <c r="G192" s="151" t="s">
        <v>821</v>
      </c>
      <c r="H192" s="44" t="s">
        <v>822</v>
      </c>
      <c r="I192" s="51" t="s">
        <v>33</v>
      </c>
      <c r="J192" s="65"/>
      <c r="K192" s="51" t="s">
        <v>20</v>
      </c>
      <c r="L192" s="69" t="s">
        <v>34</v>
      </c>
      <c r="M192" s="51"/>
    </row>
    <row r="193" spans="1:13">
      <c r="A193" s="98" t="s">
        <v>823</v>
      </c>
      <c r="B193" s="47">
        <v>3</v>
      </c>
      <c r="C193" s="55">
        <v>3</v>
      </c>
      <c r="D193" s="57" t="s">
        <v>785</v>
      </c>
      <c r="E193" s="59" t="s">
        <v>162</v>
      </c>
      <c r="F193" s="39" t="s">
        <v>824</v>
      </c>
      <c r="G193" s="151" t="s">
        <v>825</v>
      </c>
      <c r="H193" s="44" t="s">
        <v>826</v>
      </c>
      <c r="I193" s="51" t="s">
        <v>33</v>
      </c>
      <c r="J193" s="65"/>
      <c r="K193" s="51" t="s">
        <v>20</v>
      </c>
      <c r="L193" s="69" t="s">
        <v>34</v>
      </c>
      <c r="M193" s="51"/>
    </row>
    <row r="194" spans="1:13">
      <c r="A194" s="98" t="s">
        <v>827</v>
      </c>
      <c r="B194" s="47">
        <v>1</v>
      </c>
      <c r="C194" s="55">
        <v>2</v>
      </c>
      <c r="D194" s="57" t="s">
        <v>785</v>
      </c>
      <c r="E194" s="59" t="s">
        <v>162</v>
      </c>
      <c r="F194" s="34" t="s">
        <v>828</v>
      </c>
      <c r="G194" s="151" t="s">
        <v>829</v>
      </c>
      <c r="H194" s="44" t="s">
        <v>830</v>
      </c>
      <c r="I194" s="51" t="s">
        <v>33</v>
      </c>
      <c r="J194" s="65" t="s">
        <v>789</v>
      </c>
      <c r="K194" s="51" t="s">
        <v>20</v>
      </c>
      <c r="L194" s="69" t="s">
        <v>34</v>
      </c>
      <c r="M194" s="51"/>
    </row>
    <row r="195" spans="1:13">
      <c r="A195" s="98" t="s">
        <v>831</v>
      </c>
      <c r="B195" s="47">
        <v>1</v>
      </c>
      <c r="C195" s="55">
        <v>1</v>
      </c>
      <c r="D195" s="57" t="s">
        <v>785</v>
      </c>
      <c r="E195" s="59" t="s">
        <v>162</v>
      </c>
      <c r="F195" s="39" t="s">
        <v>832</v>
      </c>
      <c r="G195" s="151" t="s">
        <v>833</v>
      </c>
      <c r="H195" s="44" t="s">
        <v>834</v>
      </c>
      <c r="I195" s="51" t="s">
        <v>33</v>
      </c>
      <c r="J195" s="65" t="s">
        <v>813</v>
      </c>
      <c r="K195" s="51" t="s">
        <v>20</v>
      </c>
      <c r="L195" s="69" t="s">
        <v>34</v>
      </c>
      <c r="M195" s="51"/>
    </row>
    <row r="196" spans="1:13">
      <c r="A196" s="98" t="s">
        <v>835</v>
      </c>
      <c r="B196" s="47">
        <v>1</v>
      </c>
      <c r="C196" s="55">
        <v>1</v>
      </c>
      <c r="D196" s="57" t="s">
        <v>785</v>
      </c>
      <c r="E196" s="53" t="s">
        <v>836</v>
      </c>
      <c r="F196" s="33" t="s">
        <v>837</v>
      </c>
      <c r="G196" s="130" t="s">
        <v>838</v>
      </c>
      <c r="H196" s="42" t="s">
        <v>18</v>
      </c>
      <c r="I196" s="51" t="s">
        <v>19</v>
      </c>
      <c r="J196" s="65"/>
      <c r="K196" s="51" t="s">
        <v>20</v>
      </c>
      <c r="L196" s="70"/>
      <c r="M196" s="51"/>
    </row>
    <row r="197" spans="1:13">
      <c r="A197" s="98" t="s">
        <v>839</v>
      </c>
      <c r="B197" s="48">
        <v>3</v>
      </c>
      <c r="C197" s="55">
        <v>3</v>
      </c>
      <c r="D197" s="57" t="s">
        <v>785</v>
      </c>
      <c r="E197" s="53" t="s">
        <v>836</v>
      </c>
      <c r="F197" s="33" t="s">
        <v>840</v>
      </c>
      <c r="G197" s="130" t="s">
        <v>841</v>
      </c>
      <c r="H197" s="42" t="s">
        <v>842</v>
      </c>
      <c r="I197" s="51" t="s">
        <v>19</v>
      </c>
      <c r="J197" s="65"/>
      <c r="K197" s="51" t="s">
        <v>20</v>
      </c>
      <c r="L197" s="70"/>
      <c r="M197" s="51"/>
    </row>
    <row r="198" spans="1:13">
      <c r="A198" s="98" t="s">
        <v>843</v>
      </c>
      <c r="B198" s="47"/>
      <c r="C198" s="55">
        <v>3</v>
      </c>
      <c r="D198" s="57" t="s">
        <v>785</v>
      </c>
      <c r="E198" s="53" t="s">
        <v>836</v>
      </c>
      <c r="F198" s="33" t="s">
        <v>844</v>
      </c>
      <c r="G198" s="130" t="s">
        <v>845</v>
      </c>
      <c r="H198" s="42" t="s">
        <v>846</v>
      </c>
      <c r="I198" s="51" t="s">
        <v>19</v>
      </c>
      <c r="J198" s="65"/>
      <c r="K198" s="51" t="s">
        <v>20</v>
      </c>
      <c r="L198" s="70"/>
      <c r="M198" s="51"/>
    </row>
    <row r="199" spans="1:13">
      <c r="A199" s="98" t="s">
        <v>847</v>
      </c>
      <c r="B199" s="47">
        <v>2</v>
      </c>
      <c r="C199" s="55">
        <v>2</v>
      </c>
      <c r="D199" s="57" t="s">
        <v>785</v>
      </c>
      <c r="E199" s="53" t="s">
        <v>836</v>
      </c>
      <c r="F199" s="33" t="s">
        <v>848</v>
      </c>
      <c r="G199" s="130" t="s">
        <v>849</v>
      </c>
      <c r="H199" s="42" t="s">
        <v>850</v>
      </c>
      <c r="I199" s="51" t="s">
        <v>19</v>
      </c>
      <c r="J199" s="65"/>
      <c r="K199" s="51" t="s">
        <v>88</v>
      </c>
      <c r="L199" s="70"/>
      <c r="M199" s="51"/>
    </row>
    <row r="200" spans="1:13">
      <c r="A200" s="98" t="s">
        <v>851</v>
      </c>
      <c r="B200" s="47">
        <v>2</v>
      </c>
      <c r="C200" s="55">
        <v>2</v>
      </c>
      <c r="D200" s="57" t="s">
        <v>785</v>
      </c>
      <c r="E200" s="53" t="s">
        <v>836</v>
      </c>
      <c r="F200" s="33" t="s">
        <v>852</v>
      </c>
      <c r="G200" s="130" t="s">
        <v>853</v>
      </c>
      <c r="H200" s="42" t="s">
        <v>854</v>
      </c>
      <c r="I200" s="51" t="s">
        <v>19</v>
      </c>
      <c r="J200" s="65"/>
      <c r="K200" s="51" t="s">
        <v>123</v>
      </c>
      <c r="L200" s="70"/>
      <c r="M200" s="51"/>
    </row>
    <row r="201" spans="1:13">
      <c r="A201" s="98" t="s">
        <v>855</v>
      </c>
      <c r="B201" s="47">
        <v>2</v>
      </c>
      <c r="C201" s="55">
        <v>3</v>
      </c>
      <c r="D201" s="57" t="s">
        <v>785</v>
      </c>
      <c r="E201" s="51" t="s">
        <v>193</v>
      </c>
      <c r="F201" s="36" t="s">
        <v>856</v>
      </c>
      <c r="G201" s="145" t="s">
        <v>857</v>
      </c>
      <c r="H201" s="43" t="s">
        <v>858</v>
      </c>
      <c r="I201" s="51" t="s">
        <v>33</v>
      </c>
      <c r="J201" s="65" t="s">
        <v>859</v>
      </c>
      <c r="K201" s="51" t="s">
        <v>20</v>
      </c>
      <c r="L201" s="69" t="s">
        <v>790</v>
      </c>
      <c r="M201" s="51"/>
    </row>
    <row r="202" spans="1:13">
      <c r="A202" s="98" t="s">
        <v>860</v>
      </c>
      <c r="B202" s="47">
        <v>1</v>
      </c>
      <c r="C202" s="55">
        <v>1</v>
      </c>
      <c r="D202" s="57" t="s">
        <v>785</v>
      </c>
      <c r="E202" s="59" t="s">
        <v>616</v>
      </c>
      <c r="F202" s="34" t="s">
        <v>861</v>
      </c>
      <c r="G202" s="151" t="s">
        <v>862</v>
      </c>
      <c r="H202" s="44" t="s">
        <v>863</v>
      </c>
      <c r="I202" s="51" t="s">
        <v>33</v>
      </c>
      <c r="J202" s="65" t="s">
        <v>859</v>
      </c>
      <c r="K202" s="51" t="s">
        <v>123</v>
      </c>
      <c r="L202" s="69" t="s">
        <v>34</v>
      </c>
      <c r="M202" s="51"/>
    </row>
    <row r="203" spans="1:13">
      <c r="A203" s="98" t="s">
        <v>864</v>
      </c>
      <c r="B203" s="47">
        <v>2</v>
      </c>
      <c r="C203" s="55">
        <v>2</v>
      </c>
      <c r="D203" s="57" t="s">
        <v>785</v>
      </c>
      <c r="E203" s="59" t="s">
        <v>616</v>
      </c>
      <c r="F203" s="34" t="s">
        <v>865</v>
      </c>
      <c r="G203" s="130" t="s">
        <v>866</v>
      </c>
      <c r="H203" s="42" t="s">
        <v>867</v>
      </c>
      <c r="I203" s="51" t="s">
        <v>33</v>
      </c>
      <c r="J203" s="65" t="s">
        <v>859</v>
      </c>
      <c r="K203" s="51" t="s">
        <v>88</v>
      </c>
      <c r="L203" s="69"/>
      <c r="M203" s="51"/>
    </row>
    <row r="204" spans="1:13">
      <c r="A204" s="98" t="s">
        <v>868</v>
      </c>
      <c r="B204" s="47"/>
      <c r="C204" s="55">
        <v>3</v>
      </c>
      <c r="D204" s="57" t="s">
        <v>785</v>
      </c>
      <c r="E204" s="59" t="s">
        <v>616</v>
      </c>
      <c r="F204" s="34" t="s">
        <v>869</v>
      </c>
      <c r="G204" s="130" t="s">
        <v>870</v>
      </c>
      <c r="H204" s="42" t="s">
        <v>871</v>
      </c>
      <c r="I204" s="51" t="s">
        <v>33</v>
      </c>
      <c r="J204" s="65"/>
      <c r="K204" s="51" t="s">
        <v>20</v>
      </c>
      <c r="L204" s="70"/>
      <c r="M204" s="51"/>
    </row>
    <row r="205" spans="1:13">
      <c r="A205" s="98" t="s">
        <v>872</v>
      </c>
      <c r="B205" s="47"/>
      <c r="C205" s="55">
        <v>3</v>
      </c>
      <c r="D205" s="57" t="s">
        <v>785</v>
      </c>
      <c r="E205" s="59" t="s">
        <v>616</v>
      </c>
      <c r="F205" s="34" t="s">
        <v>873</v>
      </c>
      <c r="G205" s="130" t="s">
        <v>874</v>
      </c>
      <c r="H205" s="42" t="s">
        <v>18</v>
      </c>
      <c r="I205" s="51" t="s">
        <v>33</v>
      </c>
      <c r="J205" s="65"/>
      <c r="K205" s="51" t="s">
        <v>20</v>
      </c>
      <c r="L205" s="69" t="s">
        <v>34</v>
      </c>
      <c r="M205" s="51"/>
    </row>
    <row r="206" spans="1:13">
      <c r="A206" s="98" t="s">
        <v>875</v>
      </c>
      <c r="B206" s="47">
        <v>2</v>
      </c>
      <c r="C206" s="55">
        <v>3</v>
      </c>
      <c r="D206" s="57" t="s">
        <v>785</v>
      </c>
      <c r="E206" s="53" t="s">
        <v>876</v>
      </c>
      <c r="F206" s="36" t="s">
        <v>877</v>
      </c>
      <c r="G206" s="150" t="s">
        <v>878</v>
      </c>
      <c r="H206" s="43" t="s">
        <v>879</v>
      </c>
      <c r="I206" s="51" t="s">
        <v>33</v>
      </c>
      <c r="J206" s="65"/>
      <c r="K206" s="51" t="s">
        <v>20</v>
      </c>
      <c r="L206" s="69" t="s">
        <v>790</v>
      </c>
      <c r="M206" s="51"/>
    </row>
    <row r="207" spans="1:13">
      <c r="A207" s="98" t="s">
        <v>880</v>
      </c>
      <c r="B207" s="47">
        <v>2</v>
      </c>
      <c r="C207" s="55">
        <v>3</v>
      </c>
      <c r="D207" s="57" t="s">
        <v>785</v>
      </c>
      <c r="E207" s="53" t="s">
        <v>876</v>
      </c>
      <c r="F207" s="39" t="s">
        <v>881</v>
      </c>
      <c r="G207" s="149" t="s">
        <v>882</v>
      </c>
      <c r="H207" s="44" t="s">
        <v>883</v>
      </c>
      <c r="I207" s="51" t="s">
        <v>33</v>
      </c>
      <c r="J207" s="65"/>
      <c r="K207" s="51" t="s">
        <v>20</v>
      </c>
      <c r="L207" s="69"/>
      <c r="M207" s="51"/>
    </row>
    <row r="208" spans="1:13">
      <c r="A208" s="98" t="s">
        <v>884</v>
      </c>
      <c r="B208" s="47">
        <v>2</v>
      </c>
      <c r="C208" s="55">
        <v>3</v>
      </c>
      <c r="D208" s="57" t="s">
        <v>785</v>
      </c>
      <c r="E208" s="53" t="s">
        <v>876</v>
      </c>
      <c r="F208" s="39" t="s">
        <v>885</v>
      </c>
      <c r="G208" s="149" t="s">
        <v>886</v>
      </c>
      <c r="H208" s="44" t="s">
        <v>887</v>
      </c>
      <c r="I208" s="51" t="s">
        <v>33</v>
      </c>
      <c r="J208" s="65"/>
      <c r="K208" s="51" t="s">
        <v>20</v>
      </c>
      <c r="L208" s="69" t="s">
        <v>34</v>
      </c>
      <c r="M208" s="51"/>
    </row>
    <row r="209" spans="1:13">
      <c r="A209" s="98" t="s">
        <v>888</v>
      </c>
      <c r="B209" s="47">
        <v>2</v>
      </c>
      <c r="C209" s="55">
        <v>3</v>
      </c>
      <c r="D209" s="57" t="s">
        <v>785</v>
      </c>
      <c r="E209" s="53" t="s">
        <v>876</v>
      </c>
      <c r="F209" s="34" t="s">
        <v>889</v>
      </c>
      <c r="G209" s="137" t="s">
        <v>890</v>
      </c>
      <c r="H209" s="42" t="s">
        <v>891</v>
      </c>
      <c r="I209" s="51" t="s">
        <v>33</v>
      </c>
      <c r="J209" s="65" t="s">
        <v>789</v>
      </c>
      <c r="K209" s="51" t="s">
        <v>88</v>
      </c>
      <c r="L209" s="69" t="s">
        <v>34</v>
      </c>
      <c r="M209" s="51"/>
    </row>
    <row r="210" spans="1:13">
      <c r="A210" s="98" t="s">
        <v>892</v>
      </c>
      <c r="B210" s="47">
        <v>3</v>
      </c>
      <c r="C210" s="55">
        <v>3</v>
      </c>
      <c r="D210" s="57" t="s">
        <v>785</v>
      </c>
      <c r="E210" s="59" t="s">
        <v>232</v>
      </c>
      <c r="F210" s="34" t="s">
        <v>893</v>
      </c>
      <c r="G210" s="137" t="s">
        <v>894</v>
      </c>
      <c r="H210" s="42" t="s">
        <v>895</v>
      </c>
      <c r="I210" s="51" t="s">
        <v>33</v>
      </c>
      <c r="J210" s="65"/>
      <c r="K210" s="51" t="s">
        <v>20</v>
      </c>
      <c r="L210" s="70"/>
      <c r="M210" s="51"/>
    </row>
    <row r="211" spans="1:13">
      <c r="A211" s="98" t="s">
        <v>896</v>
      </c>
      <c r="B211" s="47"/>
      <c r="C211" s="55">
        <v>3</v>
      </c>
      <c r="D211" s="57" t="s">
        <v>785</v>
      </c>
      <c r="E211" s="59" t="s">
        <v>232</v>
      </c>
      <c r="F211" s="34" t="s">
        <v>897</v>
      </c>
      <c r="G211" s="137" t="s">
        <v>898</v>
      </c>
      <c r="H211" s="42" t="s">
        <v>899</v>
      </c>
      <c r="I211" s="51" t="s">
        <v>33</v>
      </c>
      <c r="J211" s="65"/>
      <c r="K211" s="51" t="s">
        <v>20</v>
      </c>
      <c r="L211" s="70"/>
      <c r="M211" s="51"/>
    </row>
    <row r="212" spans="1:13">
      <c r="A212" s="98" t="s">
        <v>900</v>
      </c>
      <c r="B212" s="47"/>
      <c r="C212" s="55">
        <v>3</v>
      </c>
      <c r="D212" s="57" t="s">
        <v>785</v>
      </c>
      <c r="E212" s="59" t="s">
        <v>232</v>
      </c>
      <c r="F212" s="34" t="s">
        <v>901</v>
      </c>
      <c r="G212" s="131" t="s">
        <v>902</v>
      </c>
      <c r="H212" s="42" t="s">
        <v>903</v>
      </c>
      <c r="I212" s="51" t="s">
        <v>33</v>
      </c>
      <c r="J212" s="65"/>
      <c r="K212" s="51" t="s">
        <v>20</v>
      </c>
      <c r="L212" s="70"/>
      <c r="M212" s="51"/>
    </row>
    <row r="213" spans="1:13">
      <c r="A213" s="98" t="s">
        <v>904</v>
      </c>
      <c r="B213" s="47"/>
      <c r="C213" s="55">
        <v>3</v>
      </c>
      <c r="D213" s="57" t="s">
        <v>785</v>
      </c>
      <c r="E213" s="59" t="s">
        <v>232</v>
      </c>
      <c r="F213" s="34" t="s">
        <v>905</v>
      </c>
      <c r="G213" s="131" t="s">
        <v>906</v>
      </c>
      <c r="H213" s="42" t="s">
        <v>907</v>
      </c>
      <c r="I213" s="51" t="s">
        <v>33</v>
      </c>
      <c r="J213" s="65"/>
      <c r="K213" s="51" t="s">
        <v>20</v>
      </c>
      <c r="L213" s="70"/>
      <c r="M213" s="51"/>
    </row>
    <row r="214" spans="1:13">
      <c r="A214" s="98" t="s">
        <v>908</v>
      </c>
      <c r="B214" s="47">
        <v>2</v>
      </c>
      <c r="C214" s="55">
        <v>2</v>
      </c>
      <c r="D214" s="57" t="s">
        <v>785</v>
      </c>
      <c r="E214" s="51" t="s">
        <v>238</v>
      </c>
      <c r="F214" s="38" t="s">
        <v>909</v>
      </c>
      <c r="G214" s="161" t="s">
        <v>910</v>
      </c>
      <c r="H214" s="43" t="s">
        <v>911</v>
      </c>
      <c r="I214" s="51" t="s">
        <v>33</v>
      </c>
      <c r="J214" s="65"/>
      <c r="K214" s="51" t="s">
        <v>88</v>
      </c>
      <c r="L214" s="69" t="s">
        <v>790</v>
      </c>
      <c r="M214" s="51" t="s">
        <v>57</v>
      </c>
    </row>
    <row r="215" spans="1:13">
      <c r="A215" s="98" t="s">
        <v>912</v>
      </c>
      <c r="B215" s="47"/>
      <c r="C215" s="55">
        <v>2</v>
      </c>
      <c r="D215" s="57" t="s">
        <v>785</v>
      </c>
      <c r="E215" s="53" t="s">
        <v>913</v>
      </c>
      <c r="F215" s="33" t="s">
        <v>914</v>
      </c>
      <c r="G215" s="137" t="s">
        <v>915</v>
      </c>
      <c r="H215" s="42" t="s">
        <v>18</v>
      </c>
      <c r="I215" s="51" t="s">
        <v>19</v>
      </c>
      <c r="J215" s="65"/>
      <c r="K215" s="51" t="s">
        <v>20</v>
      </c>
      <c r="L215" s="70"/>
      <c r="M215" s="51"/>
    </row>
    <row r="216" spans="1:13">
      <c r="A216" s="98" t="s">
        <v>916</v>
      </c>
      <c r="B216" s="47"/>
      <c r="C216" s="55">
        <v>2</v>
      </c>
      <c r="D216" s="57" t="s">
        <v>785</v>
      </c>
      <c r="E216" s="53" t="s">
        <v>913</v>
      </c>
      <c r="F216" s="35" t="s">
        <v>917</v>
      </c>
      <c r="G216" s="132" t="s">
        <v>918</v>
      </c>
      <c r="H216" s="42" t="s">
        <v>919</v>
      </c>
      <c r="I216" s="51" t="s">
        <v>19</v>
      </c>
      <c r="J216" s="65"/>
      <c r="K216" s="51" t="s">
        <v>20</v>
      </c>
      <c r="L216" s="70"/>
      <c r="M216" s="51" t="s">
        <v>57</v>
      </c>
    </row>
    <row r="217" spans="1:13">
      <c r="A217" s="98" t="s">
        <v>920</v>
      </c>
      <c r="B217" s="47"/>
      <c r="C217" s="55">
        <v>3</v>
      </c>
      <c r="D217" s="57" t="s">
        <v>785</v>
      </c>
      <c r="E217" s="53" t="s">
        <v>921</v>
      </c>
      <c r="F217" s="33" t="s">
        <v>922</v>
      </c>
      <c r="G217" s="137" t="s">
        <v>923</v>
      </c>
      <c r="H217" s="42" t="s">
        <v>18</v>
      </c>
      <c r="I217" s="51" t="s">
        <v>33</v>
      </c>
      <c r="J217" s="65"/>
      <c r="K217" s="51" t="s">
        <v>20</v>
      </c>
      <c r="L217" s="70"/>
      <c r="M217" s="51"/>
    </row>
    <row r="218" spans="1:13">
      <c r="A218" s="98" t="s">
        <v>924</v>
      </c>
      <c r="B218" s="47"/>
      <c r="C218" s="55">
        <v>3</v>
      </c>
      <c r="D218" s="57" t="s">
        <v>785</v>
      </c>
      <c r="E218" s="53" t="s">
        <v>921</v>
      </c>
      <c r="F218" s="35" t="s">
        <v>925</v>
      </c>
      <c r="G218" s="132" t="s">
        <v>926</v>
      </c>
      <c r="H218" s="42" t="s">
        <v>18</v>
      </c>
      <c r="I218" s="51" t="s">
        <v>19</v>
      </c>
      <c r="J218" s="65"/>
      <c r="K218" s="51" t="s">
        <v>20</v>
      </c>
      <c r="L218" s="70"/>
      <c r="M218" s="51" t="s">
        <v>57</v>
      </c>
    </row>
    <row r="219" spans="1:13">
      <c r="A219" s="98" t="s">
        <v>927</v>
      </c>
      <c r="B219" s="47"/>
      <c r="C219" s="55">
        <v>3</v>
      </c>
      <c r="D219" s="57" t="s">
        <v>785</v>
      </c>
      <c r="E219" s="53" t="s">
        <v>921</v>
      </c>
      <c r="F219" s="35" t="s">
        <v>928</v>
      </c>
      <c r="G219" s="132" t="s">
        <v>929</v>
      </c>
      <c r="H219" s="42" t="s">
        <v>930</v>
      </c>
      <c r="I219" s="51" t="s">
        <v>19</v>
      </c>
      <c r="J219" s="65"/>
      <c r="K219" s="51" t="s">
        <v>20</v>
      </c>
      <c r="L219" s="70"/>
      <c r="M219" s="51" t="s">
        <v>57</v>
      </c>
    </row>
    <row r="220" spans="1:13">
      <c r="A220" s="98" t="s">
        <v>931</v>
      </c>
      <c r="B220" s="47">
        <v>2</v>
      </c>
      <c r="C220" s="55">
        <v>2</v>
      </c>
      <c r="D220" s="57" t="s">
        <v>932</v>
      </c>
      <c r="E220" s="53" t="s">
        <v>933</v>
      </c>
      <c r="F220" s="33" t="s">
        <v>934</v>
      </c>
      <c r="G220" s="130" t="s">
        <v>935</v>
      </c>
      <c r="H220" s="42" t="s">
        <v>405</v>
      </c>
      <c r="I220" s="51" t="s">
        <v>33</v>
      </c>
      <c r="J220" s="65" t="s">
        <v>936</v>
      </c>
      <c r="K220" s="51" t="s">
        <v>20</v>
      </c>
      <c r="L220" s="70"/>
      <c r="M220" s="51"/>
    </row>
    <row r="221" spans="1:13">
      <c r="A221" s="98" t="s">
        <v>937</v>
      </c>
      <c r="B221" s="47">
        <v>3</v>
      </c>
      <c r="C221" s="55">
        <v>2</v>
      </c>
      <c r="D221" s="57" t="s">
        <v>932</v>
      </c>
      <c r="E221" s="53" t="s">
        <v>933</v>
      </c>
      <c r="F221" s="33" t="s">
        <v>938</v>
      </c>
      <c r="G221" s="130" t="s">
        <v>939</v>
      </c>
      <c r="H221" s="42" t="s">
        <v>940</v>
      </c>
      <c r="I221" s="51" t="s">
        <v>33</v>
      </c>
      <c r="J221" s="65"/>
      <c r="K221" s="51" t="s">
        <v>20</v>
      </c>
      <c r="L221" s="70"/>
      <c r="M221" s="51"/>
    </row>
    <row r="222" spans="1:13">
      <c r="A222" s="98" t="s">
        <v>941</v>
      </c>
      <c r="B222" s="47">
        <v>2</v>
      </c>
      <c r="C222" s="55">
        <v>2</v>
      </c>
      <c r="D222" s="57" t="s">
        <v>932</v>
      </c>
      <c r="E222" s="53" t="s">
        <v>933</v>
      </c>
      <c r="F222" s="33" t="s">
        <v>942</v>
      </c>
      <c r="G222" s="130" t="s">
        <v>943</v>
      </c>
      <c r="H222" s="42" t="s">
        <v>944</v>
      </c>
      <c r="I222" s="51" t="s">
        <v>33</v>
      </c>
      <c r="J222" s="65"/>
      <c r="K222" s="51" t="s">
        <v>20</v>
      </c>
      <c r="L222" s="70"/>
      <c r="M222" s="51"/>
    </row>
    <row r="223" spans="1:13">
      <c r="A223" s="98" t="s">
        <v>945</v>
      </c>
      <c r="B223" s="47"/>
      <c r="C223" s="55">
        <v>2</v>
      </c>
      <c r="D223" s="57" t="s">
        <v>932</v>
      </c>
      <c r="E223" s="53" t="s">
        <v>933</v>
      </c>
      <c r="F223" s="33" t="s">
        <v>946</v>
      </c>
      <c r="G223" s="130" t="s">
        <v>947</v>
      </c>
      <c r="H223" s="42" t="s">
        <v>948</v>
      </c>
      <c r="I223" s="51" t="s">
        <v>33</v>
      </c>
      <c r="J223" s="65"/>
      <c r="K223" s="51" t="s">
        <v>20</v>
      </c>
      <c r="L223" s="70"/>
      <c r="M223" s="51"/>
    </row>
    <row r="224" spans="1:13">
      <c r="A224" s="98" t="s">
        <v>949</v>
      </c>
      <c r="B224" s="47"/>
      <c r="C224" s="55">
        <v>2</v>
      </c>
      <c r="D224" s="57" t="s">
        <v>932</v>
      </c>
      <c r="E224" s="53" t="s">
        <v>933</v>
      </c>
      <c r="F224" s="33" t="s">
        <v>950</v>
      </c>
      <c r="G224" s="130" t="s">
        <v>951</v>
      </c>
      <c r="H224" s="42" t="s">
        <v>952</v>
      </c>
      <c r="I224" s="51" t="s">
        <v>33</v>
      </c>
      <c r="J224" s="65"/>
      <c r="K224" s="51" t="s">
        <v>20</v>
      </c>
      <c r="L224" s="70"/>
      <c r="M224" s="51"/>
    </row>
    <row r="225" spans="1:13">
      <c r="A225" s="98" t="s">
        <v>953</v>
      </c>
      <c r="B225" s="47"/>
      <c r="C225" s="55">
        <v>2</v>
      </c>
      <c r="D225" s="57" t="s">
        <v>932</v>
      </c>
      <c r="E225" s="53" t="s">
        <v>933</v>
      </c>
      <c r="F225" s="33" t="s">
        <v>954</v>
      </c>
      <c r="G225" s="130" t="s">
        <v>955</v>
      </c>
      <c r="H225" s="42" t="s">
        <v>956</v>
      </c>
      <c r="I225" s="51" t="s">
        <v>33</v>
      </c>
      <c r="J225" s="65"/>
      <c r="K225" s="51" t="s">
        <v>20</v>
      </c>
      <c r="L225" s="70"/>
      <c r="M225" s="51"/>
    </row>
    <row r="226" spans="1:13">
      <c r="A226" s="98" t="s">
        <v>957</v>
      </c>
      <c r="B226" s="47">
        <v>2</v>
      </c>
      <c r="C226" s="55">
        <v>2</v>
      </c>
      <c r="D226" s="57" t="s">
        <v>932</v>
      </c>
      <c r="E226" s="53" t="s">
        <v>958</v>
      </c>
      <c r="F226" s="35" t="s">
        <v>959</v>
      </c>
      <c r="G226" s="154" t="s">
        <v>960</v>
      </c>
      <c r="H226" s="42" t="s">
        <v>961</v>
      </c>
      <c r="I226" s="51" t="s">
        <v>33</v>
      </c>
      <c r="J226" s="63"/>
      <c r="K226" s="51" t="s">
        <v>20</v>
      </c>
      <c r="L226" s="70"/>
      <c r="M226" s="51" t="s">
        <v>57</v>
      </c>
    </row>
    <row r="227" spans="1:13">
      <c r="A227" s="98" t="s">
        <v>962</v>
      </c>
      <c r="B227" s="47">
        <v>2</v>
      </c>
      <c r="C227" s="55">
        <v>2</v>
      </c>
      <c r="D227" s="57" t="s">
        <v>932</v>
      </c>
      <c r="E227" s="53" t="s">
        <v>963</v>
      </c>
      <c r="F227" s="33" t="s">
        <v>964</v>
      </c>
      <c r="G227" s="131" t="s">
        <v>965</v>
      </c>
      <c r="H227" s="42" t="s">
        <v>405</v>
      </c>
      <c r="I227" s="51" t="s">
        <v>33</v>
      </c>
      <c r="J227" s="65"/>
      <c r="K227" s="51"/>
      <c r="L227" s="70"/>
      <c r="M227" s="51"/>
    </row>
    <row r="228" spans="1:13">
      <c r="A228" s="98" t="s">
        <v>966</v>
      </c>
      <c r="B228" s="47">
        <v>3</v>
      </c>
      <c r="C228" s="55">
        <v>2</v>
      </c>
      <c r="D228" s="57" t="s">
        <v>932</v>
      </c>
      <c r="E228" s="53" t="s">
        <v>963</v>
      </c>
      <c r="F228" s="33" t="s">
        <v>967</v>
      </c>
      <c r="G228" s="131" t="s">
        <v>968</v>
      </c>
      <c r="H228" s="42" t="s">
        <v>969</v>
      </c>
      <c r="I228" s="51" t="s">
        <v>33</v>
      </c>
      <c r="J228" s="65" t="s">
        <v>970</v>
      </c>
      <c r="K228" s="51" t="s">
        <v>20</v>
      </c>
      <c r="L228" s="70"/>
      <c r="M228" s="51"/>
    </row>
    <row r="229" spans="1:13">
      <c r="A229" s="98" t="s">
        <v>971</v>
      </c>
      <c r="B229" s="47">
        <v>3</v>
      </c>
      <c r="C229" s="55">
        <v>2</v>
      </c>
      <c r="D229" s="57" t="s">
        <v>932</v>
      </c>
      <c r="E229" s="53" t="s">
        <v>963</v>
      </c>
      <c r="F229" s="33" t="s">
        <v>972</v>
      </c>
      <c r="G229" s="131" t="s">
        <v>973</v>
      </c>
      <c r="H229" s="42" t="s">
        <v>974</v>
      </c>
      <c r="I229" s="51" t="s">
        <v>33</v>
      </c>
      <c r="J229" s="65" t="s">
        <v>975</v>
      </c>
      <c r="K229" s="51" t="s">
        <v>20</v>
      </c>
      <c r="L229" s="70"/>
      <c r="M229" s="51"/>
    </row>
    <row r="230" spans="1:13">
      <c r="A230" s="98" t="s">
        <v>976</v>
      </c>
      <c r="B230" s="48">
        <v>2</v>
      </c>
      <c r="C230" s="75">
        <v>1</v>
      </c>
      <c r="D230" s="57" t="s">
        <v>932</v>
      </c>
      <c r="E230" s="53" t="s">
        <v>452</v>
      </c>
      <c r="F230" s="33" t="s">
        <v>977</v>
      </c>
      <c r="G230" s="131" t="s">
        <v>978</v>
      </c>
      <c r="H230" s="42" t="s">
        <v>405</v>
      </c>
      <c r="I230" s="51" t="s">
        <v>33</v>
      </c>
      <c r="J230" s="65" t="s">
        <v>979</v>
      </c>
      <c r="K230" s="51" t="s">
        <v>346</v>
      </c>
      <c r="L230" s="70"/>
      <c r="M230" s="51"/>
    </row>
    <row r="231" spans="1:13">
      <c r="A231" s="98" t="s">
        <v>980</v>
      </c>
      <c r="B231" s="47">
        <v>1</v>
      </c>
      <c r="C231" s="55">
        <v>1</v>
      </c>
      <c r="D231" s="57" t="s">
        <v>932</v>
      </c>
      <c r="E231" s="53" t="s">
        <v>981</v>
      </c>
      <c r="F231" s="33" t="s">
        <v>982</v>
      </c>
      <c r="G231" s="149" t="s">
        <v>983</v>
      </c>
      <c r="H231" s="42" t="s">
        <v>984</v>
      </c>
      <c r="I231" s="51" t="s">
        <v>33</v>
      </c>
      <c r="J231" s="65" t="s">
        <v>985</v>
      </c>
      <c r="K231" s="51" t="s">
        <v>20</v>
      </c>
      <c r="L231" s="69" t="s">
        <v>34</v>
      </c>
      <c r="M231" s="51"/>
    </row>
    <row r="232" spans="1:13">
      <c r="A232" s="98" t="s">
        <v>986</v>
      </c>
      <c r="B232" s="47">
        <v>1</v>
      </c>
      <c r="C232" s="55">
        <v>1</v>
      </c>
      <c r="D232" s="57" t="s">
        <v>932</v>
      </c>
      <c r="E232" s="53" t="s">
        <v>981</v>
      </c>
      <c r="F232" s="33" t="s">
        <v>987</v>
      </c>
      <c r="G232" s="149" t="s">
        <v>988</v>
      </c>
      <c r="H232" s="44" t="s">
        <v>989</v>
      </c>
      <c r="I232" s="51" t="s">
        <v>33</v>
      </c>
      <c r="J232" s="65" t="s">
        <v>990</v>
      </c>
      <c r="K232" s="51" t="s">
        <v>20</v>
      </c>
      <c r="L232" s="69" t="s">
        <v>34</v>
      </c>
      <c r="M232" s="51"/>
    </row>
    <row r="233" spans="1:13">
      <c r="A233" s="98" t="s">
        <v>991</v>
      </c>
      <c r="B233" s="47">
        <v>1</v>
      </c>
      <c r="C233" s="55">
        <v>1</v>
      </c>
      <c r="D233" s="57" t="s">
        <v>932</v>
      </c>
      <c r="E233" s="53" t="s">
        <v>981</v>
      </c>
      <c r="F233" s="33" t="s">
        <v>987</v>
      </c>
      <c r="G233" s="149" t="s">
        <v>992</v>
      </c>
      <c r="H233" s="44" t="s">
        <v>993</v>
      </c>
      <c r="I233" s="51" t="s">
        <v>33</v>
      </c>
      <c r="J233" s="65"/>
      <c r="K233" s="51"/>
      <c r="L233" s="69" t="s">
        <v>34</v>
      </c>
      <c r="M233" s="51"/>
    </row>
    <row r="234" spans="1:13">
      <c r="A234" s="98" t="s">
        <v>994</v>
      </c>
      <c r="B234" s="47">
        <v>1</v>
      </c>
      <c r="C234" s="55">
        <v>1</v>
      </c>
      <c r="D234" s="57" t="s">
        <v>932</v>
      </c>
      <c r="E234" s="53" t="s">
        <v>981</v>
      </c>
      <c r="F234" s="33" t="s">
        <v>995</v>
      </c>
      <c r="G234" s="131" t="s">
        <v>996</v>
      </c>
      <c r="H234" s="42" t="s">
        <v>997</v>
      </c>
      <c r="I234" s="51" t="s">
        <v>33</v>
      </c>
      <c r="J234" s="65" t="s">
        <v>998</v>
      </c>
      <c r="K234" s="51" t="s">
        <v>20</v>
      </c>
      <c r="L234" s="69" t="s">
        <v>34</v>
      </c>
      <c r="M234" s="51"/>
    </row>
    <row r="235" spans="1:13">
      <c r="A235" s="98" t="s">
        <v>999</v>
      </c>
      <c r="B235" s="47">
        <v>2</v>
      </c>
      <c r="C235" s="55">
        <v>2</v>
      </c>
      <c r="D235" s="57" t="s">
        <v>932</v>
      </c>
      <c r="E235" s="53" t="s">
        <v>981</v>
      </c>
      <c r="F235" s="33" t="s">
        <v>1000</v>
      </c>
      <c r="G235" s="137" t="s">
        <v>1001</v>
      </c>
      <c r="H235" s="42" t="s">
        <v>1002</v>
      </c>
      <c r="I235" s="51" t="s">
        <v>33</v>
      </c>
      <c r="J235" s="65"/>
      <c r="K235" s="51" t="s">
        <v>20</v>
      </c>
      <c r="L235" s="69" t="s">
        <v>34</v>
      </c>
      <c r="M235" s="51"/>
    </row>
    <row r="236" spans="1:13">
      <c r="A236" s="98" t="s">
        <v>1003</v>
      </c>
      <c r="B236" s="47">
        <v>2</v>
      </c>
      <c r="C236" s="55">
        <v>2</v>
      </c>
      <c r="D236" s="57" t="s">
        <v>932</v>
      </c>
      <c r="E236" s="53" t="s">
        <v>981</v>
      </c>
      <c r="F236" s="33" t="s">
        <v>1000</v>
      </c>
      <c r="G236" s="137" t="s">
        <v>1004</v>
      </c>
      <c r="H236" s="42" t="s">
        <v>1005</v>
      </c>
      <c r="I236" s="51" t="s">
        <v>33</v>
      </c>
      <c r="J236" s="65"/>
      <c r="K236" s="51" t="s">
        <v>20</v>
      </c>
      <c r="L236" s="69" t="s">
        <v>34</v>
      </c>
      <c r="M236" s="51"/>
    </row>
    <row r="237" spans="1:13">
      <c r="A237" s="98" t="s">
        <v>1006</v>
      </c>
      <c r="B237" s="47">
        <v>2</v>
      </c>
      <c r="C237" s="55">
        <v>2</v>
      </c>
      <c r="D237" s="57" t="s">
        <v>932</v>
      </c>
      <c r="E237" s="53" t="s">
        <v>981</v>
      </c>
      <c r="F237" s="33" t="s">
        <v>1000</v>
      </c>
      <c r="G237" s="137" t="s">
        <v>1007</v>
      </c>
      <c r="H237" s="42" t="s">
        <v>1008</v>
      </c>
      <c r="I237" s="51" t="s">
        <v>33</v>
      </c>
      <c r="J237" s="65"/>
      <c r="K237" s="51" t="s">
        <v>20</v>
      </c>
      <c r="L237" s="69" t="s">
        <v>34</v>
      </c>
      <c r="M237" s="51"/>
    </row>
    <row r="238" spans="1:13">
      <c r="A238" s="98" t="s">
        <v>1009</v>
      </c>
      <c r="B238" s="47">
        <v>2</v>
      </c>
      <c r="C238" s="55">
        <v>2</v>
      </c>
      <c r="D238" s="57" t="s">
        <v>932</v>
      </c>
      <c r="E238" s="53" t="s">
        <v>981</v>
      </c>
      <c r="F238" s="33" t="s">
        <v>1000</v>
      </c>
      <c r="G238" s="137" t="s">
        <v>1010</v>
      </c>
      <c r="H238" s="42" t="s">
        <v>1011</v>
      </c>
      <c r="I238" s="51" t="s">
        <v>33</v>
      </c>
      <c r="J238" s="65"/>
      <c r="K238" s="51" t="s">
        <v>20</v>
      </c>
      <c r="L238" s="69" t="s">
        <v>34</v>
      </c>
      <c r="M238" s="51"/>
    </row>
    <row r="239" spans="1:13">
      <c r="A239" s="98" t="s">
        <v>1012</v>
      </c>
      <c r="B239" s="47">
        <v>2</v>
      </c>
      <c r="C239" s="55">
        <v>2</v>
      </c>
      <c r="D239" s="57" t="s">
        <v>932</v>
      </c>
      <c r="E239" s="53" t="s">
        <v>981</v>
      </c>
      <c r="F239" s="33" t="s">
        <v>1000</v>
      </c>
      <c r="G239" s="137" t="s">
        <v>1013</v>
      </c>
      <c r="H239" s="42" t="s">
        <v>1014</v>
      </c>
      <c r="I239" s="51" t="s">
        <v>33</v>
      </c>
      <c r="J239" s="65"/>
      <c r="K239" s="51" t="s">
        <v>20</v>
      </c>
      <c r="L239" s="69" t="s">
        <v>34</v>
      </c>
      <c r="M239" s="51"/>
    </row>
    <row r="240" spans="1:13">
      <c r="A240" s="98" t="s">
        <v>1015</v>
      </c>
      <c r="B240" s="47">
        <v>2</v>
      </c>
      <c r="C240" s="55">
        <v>2</v>
      </c>
      <c r="D240" s="57" t="s">
        <v>932</v>
      </c>
      <c r="E240" s="53" t="s">
        <v>981</v>
      </c>
      <c r="F240" s="33" t="s">
        <v>1000</v>
      </c>
      <c r="G240" s="137" t="s">
        <v>1016</v>
      </c>
      <c r="H240" s="42" t="s">
        <v>1017</v>
      </c>
      <c r="I240" s="51" t="s">
        <v>33</v>
      </c>
      <c r="J240" s="65"/>
      <c r="K240" s="51"/>
      <c r="L240" s="70"/>
      <c r="M240" s="51"/>
    </row>
    <row r="241" spans="1:13">
      <c r="A241" s="98" t="s">
        <v>1018</v>
      </c>
      <c r="B241" s="47">
        <v>2</v>
      </c>
      <c r="C241" s="55">
        <v>2</v>
      </c>
      <c r="D241" s="57" t="s">
        <v>932</v>
      </c>
      <c r="E241" s="53" t="s">
        <v>981</v>
      </c>
      <c r="F241" s="33" t="s">
        <v>1000</v>
      </c>
      <c r="G241" s="137" t="s">
        <v>1019</v>
      </c>
      <c r="H241" s="42" t="s">
        <v>1020</v>
      </c>
      <c r="I241" s="51" t="s">
        <v>33</v>
      </c>
      <c r="J241" s="65"/>
      <c r="K241" s="51" t="s">
        <v>20</v>
      </c>
      <c r="L241" s="69" t="s">
        <v>34</v>
      </c>
      <c r="M241" s="51"/>
    </row>
    <row r="242" spans="1:13">
      <c r="A242" s="98" t="s">
        <v>1021</v>
      </c>
      <c r="B242" s="47">
        <v>2</v>
      </c>
      <c r="C242" s="55">
        <v>2</v>
      </c>
      <c r="D242" s="57" t="s">
        <v>932</v>
      </c>
      <c r="E242" s="53" t="s">
        <v>1022</v>
      </c>
      <c r="F242" s="33" t="s">
        <v>1023</v>
      </c>
      <c r="G242" s="137" t="s">
        <v>1024</v>
      </c>
      <c r="H242" s="42" t="s">
        <v>405</v>
      </c>
      <c r="I242" s="51" t="s">
        <v>33</v>
      </c>
      <c r="J242" s="65"/>
      <c r="K242" s="51"/>
      <c r="L242" s="70"/>
      <c r="M242" s="51"/>
    </row>
    <row r="243" spans="1:13">
      <c r="A243" s="98" t="s">
        <v>1025</v>
      </c>
      <c r="B243" s="47">
        <v>1</v>
      </c>
      <c r="C243" s="55">
        <v>2</v>
      </c>
      <c r="D243" s="57" t="s">
        <v>1026</v>
      </c>
      <c r="E243" s="105" t="s">
        <v>162</v>
      </c>
      <c r="F243" s="33" t="s">
        <v>1027</v>
      </c>
      <c r="G243" s="131" t="s">
        <v>1028</v>
      </c>
      <c r="H243" s="42" t="s">
        <v>797</v>
      </c>
      <c r="I243" s="51" t="s">
        <v>33</v>
      </c>
      <c r="J243" s="65"/>
      <c r="K243" s="51" t="s">
        <v>20</v>
      </c>
      <c r="L243" s="69"/>
      <c r="M243" s="51"/>
    </row>
    <row r="244" spans="1:13">
      <c r="A244" s="98" t="s">
        <v>1029</v>
      </c>
      <c r="B244" s="47">
        <v>1</v>
      </c>
      <c r="C244" s="55">
        <v>2</v>
      </c>
      <c r="D244" s="57" t="s">
        <v>1026</v>
      </c>
      <c r="E244" s="105" t="s">
        <v>162</v>
      </c>
      <c r="F244" s="33" t="s">
        <v>1030</v>
      </c>
      <c r="G244" s="131" t="s">
        <v>1031</v>
      </c>
      <c r="H244" s="42" t="s">
        <v>1032</v>
      </c>
      <c r="I244" s="51" t="s">
        <v>33</v>
      </c>
      <c r="J244" s="65" t="s">
        <v>1033</v>
      </c>
      <c r="K244" s="51" t="s">
        <v>20</v>
      </c>
      <c r="L244" s="69"/>
      <c r="M244" s="51"/>
    </row>
    <row r="245" spans="1:13">
      <c r="A245" s="98" t="s">
        <v>1034</v>
      </c>
      <c r="B245" s="47">
        <v>3</v>
      </c>
      <c r="C245" s="55">
        <v>3</v>
      </c>
      <c r="D245" s="57" t="s">
        <v>1035</v>
      </c>
      <c r="E245" s="53" t="s">
        <v>162</v>
      </c>
      <c r="F245" s="33" t="s">
        <v>1036</v>
      </c>
      <c r="G245" s="130" t="s">
        <v>1037</v>
      </c>
      <c r="H245" s="42" t="s">
        <v>18</v>
      </c>
      <c r="I245" s="51" t="s">
        <v>33</v>
      </c>
      <c r="J245" s="65"/>
      <c r="K245" s="51" t="s">
        <v>20</v>
      </c>
      <c r="L245" s="69"/>
      <c r="M245" s="51"/>
    </row>
    <row r="246" spans="1:13">
      <c r="A246" s="98" t="s">
        <v>1038</v>
      </c>
      <c r="B246" s="47">
        <v>3</v>
      </c>
      <c r="C246" s="55">
        <v>3</v>
      </c>
      <c r="D246" s="57" t="s">
        <v>1035</v>
      </c>
      <c r="E246" s="53" t="s">
        <v>162</v>
      </c>
      <c r="F246" s="33" t="s">
        <v>1039</v>
      </c>
      <c r="G246" s="145" t="s">
        <v>1040</v>
      </c>
      <c r="H246" s="43" t="s">
        <v>405</v>
      </c>
      <c r="I246" s="51" t="s">
        <v>33</v>
      </c>
      <c r="J246" s="65"/>
      <c r="K246" s="51" t="s">
        <v>20</v>
      </c>
      <c r="L246" s="70"/>
      <c r="M246" s="51"/>
    </row>
    <row r="247" spans="1:13">
      <c r="A247" s="98" t="s">
        <v>1041</v>
      </c>
      <c r="B247" s="47">
        <v>2</v>
      </c>
      <c r="C247" s="55">
        <v>3</v>
      </c>
      <c r="D247" s="57" t="s">
        <v>1035</v>
      </c>
      <c r="E247" s="53" t="s">
        <v>162</v>
      </c>
      <c r="F247" s="33" t="s">
        <v>1042</v>
      </c>
      <c r="G247" s="145" t="s">
        <v>1043</v>
      </c>
      <c r="H247" s="43" t="s">
        <v>1044</v>
      </c>
      <c r="I247" s="51" t="s">
        <v>33</v>
      </c>
      <c r="J247" s="65"/>
      <c r="K247" s="51" t="s">
        <v>20</v>
      </c>
      <c r="L247" s="70"/>
      <c r="M247" s="51"/>
    </row>
    <row r="248" spans="1:13">
      <c r="A248" s="98" t="s">
        <v>1045</v>
      </c>
      <c r="B248" s="47">
        <v>2</v>
      </c>
      <c r="C248" s="55">
        <v>2</v>
      </c>
      <c r="D248" s="57" t="s">
        <v>1035</v>
      </c>
      <c r="E248" s="53" t="s">
        <v>162</v>
      </c>
      <c r="F248" s="33" t="s">
        <v>1046</v>
      </c>
      <c r="G248" s="131" t="s">
        <v>1047</v>
      </c>
      <c r="H248" s="42" t="s">
        <v>18</v>
      </c>
      <c r="I248" s="51" t="s">
        <v>33</v>
      </c>
      <c r="J248" s="65"/>
      <c r="K248" s="51" t="s">
        <v>20</v>
      </c>
      <c r="L248" s="69"/>
      <c r="M248" s="51"/>
    </row>
    <row r="249" spans="1:13">
      <c r="A249" s="98" t="s">
        <v>1048</v>
      </c>
      <c r="B249" s="47">
        <v>2</v>
      </c>
      <c r="C249" s="55">
        <v>2</v>
      </c>
      <c r="D249" s="57" t="s">
        <v>1035</v>
      </c>
      <c r="E249" s="53" t="s">
        <v>162</v>
      </c>
      <c r="F249" s="33" t="s">
        <v>1046</v>
      </c>
      <c r="G249" s="131" t="s">
        <v>1049</v>
      </c>
      <c r="H249" s="42" t="s">
        <v>1050</v>
      </c>
      <c r="I249" s="51" t="s">
        <v>33</v>
      </c>
      <c r="J249" s="65"/>
      <c r="K249" s="51" t="s">
        <v>88</v>
      </c>
      <c r="L249" s="69"/>
      <c r="M249" s="51"/>
    </row>
    <row r="250" spans="1:13">
      <c r="A250" s="98" t="s">
        <v>1051</v>
      </c>
      <c r="B250" s="47"/>
      <c r="C250" s="55">
        <v>3</v>
      </c>
      <c r="D250" s="57" t="s">
        <v>1035</v>
      </c>
      <c r="E250" s="53" t="s">
        <v>162</v>
      </c>
      <c r="F250" s="33" t="s">
        <v>1052</v>
      </c>
      <c r="G250" s="130" t="s">
        <v>1053</v>
      </c>
      <c r="H250" s="42" t="s">
        <v>258</v>
      </c>
      <c r="I250" s="51" t="s">
        <v>33</v>
      </c>
      <c r="J250" s="65"/>
      <c r="K250" s="51" t="s">
        <v>20</v>
      </c>
      <c r="L250" s="69"/>
      <c r="M250" s="51"/>
    </row>
    <row r="251" spans="1:13">
      <c r="A251" s="98" t="s">
        <v>1054</v>
      </c>
      <c r="B251" s="47"/>
      <c r="C251" s="55">
        <v>3</v>
      </c>
      <c r="D251" s="57" t="s">
        <v>1035</v>
      </c>
      <c r="E251" s="53" t="s">
        <v>162</v>
      </c>
      <c r="F251" s="33" t="s">
        <v>1055</v>
      </c>
      <c r="G251" s="131" t="s">
        <v>1056</v>
      </c>
      <c r="H251" s="42" t="s">
        <v>1057</v>
      </c>
      <c r="I251" s="51" t="s">
        <v>19</v>
      </c>
      <c r="J251" s="65"/>
      <c r="K251" s="51" t="s">
        <v>20</v>
      </c>
      <c r="L251" s="69"/>
      <c r="M251" s="51"/>
    </row>
    <row r="252" spans="1:13">
      <c r="A252" s="98" t="s">
        <v>1058</v>
      </c>
      <c r="B252" s="47">
        <v>1</v>
      </c>
      <c r="C252" s="55">
        <v>2</v>
      </c>
      <c r="D252" s="57" t="s">
        <v>1035</v>
      </c>
      <c r="E252" s="53" t="s">
        <v>836</v>
      </c>
      <c r="F252" s="33" t="s">
        <v>1059</v>
      </c>
      <c r="G252" s="130" t="s">
        <v>1060</v>
      </c>
      <c r="H252" s="42" t="s">
        <v>1061</v>
      </c>
      <c r="I252" s="51" t="s">
        <v>33</v>
      </c>
      <c r="J252" s="65"/>
      <c r="K252" s="51"/>
      <c r="L252" s="69" t="s">
        <v>1062</v>
      </c>
      <c r="M252" s="51" t="s">
        <v>1063</v>
      </c>
    </row>
    <row r="253" spans="1:13">
      <c r="A253" s="98" t="s">
        <v>1064</v>
      </c>
      <c r="B253" s="47">
        <v>1</v>
      </c>
      <c r="C253" s="55">
        <v>2</v>
      </c>
      <c r="D253" s="57" t="s">
        <v>1035</v>
      </c>
      <c r="E253" s="53" t="s">
        <v>836</v>
      </c>
      <c r="F253" s="33" t="s">
        <v>1059</v>
      </c>
      <c r="G253" s="130" t="s">
        <v>1065</v>
      </c>
      <c r="H253" s="42" t="s">
        <v>1066</v>
      </c>
      <c r="I253" s="51" t="s">
        <v>33</v>
      </c>
      <c r="J253" s="65"/>
      <c r="K253" s="51"/>
      <c r="L253" s="69" t="s">
        <v>1062</v>
      </c>
      <c r="M253" s="51" t="s">
        <v>1063</v>
      </c>
    </row>
    <row r="254" spans="1:13">
      <c r="A254" s="98" t="s">
        <v>1067</v>
      </c>
      <c r="B254" s="47">
        <v>1</v>
      </c>
      <c r="C254" s="55">
        <v>2</v>
      </c>
      <c r="D254" s="57" t="s">
        <v>1035</v>
      </c>
      <c r="E254" s="53" t="s">
        <v>836</v>
      </c>
      <c r="F254" s="33" t="s">
        <v>1059</v>
      </c>
      <c r="G254" s="131" t="s">
        <v>1068</v>
      </c>
      <c r="H254" s="42" t="s">
        <v>1069</v>
      </c>
      <c r="I254" s="51" t="s">
        <v>33</v>
      </c>
      <c r="J254" s="65"/>
      <c r="K254" s="51"/>
      <c r="L254" s="69" t="s">
        <v>1062</v>
      </c>
      <c r="M254" s="51" t="s">
        <v>1063</v>
      </c>
    </row>
    <row r="255" spans="1:13">
      <c r="A255" s="98" t="s">
        <v>1070</v>
      </c>
      <c r="B255" s="47">
        <v>1</v>
      </c>
      <c r="C255" s="55">
        <v>2</v>
      </c>
      <c r="D255" s="57" t="s">
        <v>1035</v>
      </c>
      <c r="E255" s="53" t="s">
        <v>836</v>
      </c>
      <c r="F255" s="33" t="s">
        <v>1059</v>
      </c>
      <c r="G255" s="130" t="s">
        <v>1071</v>
      </c>
      <c r="H255" s="42" t="s">
        <v>1072</v>
      </c>
      <c r="I255" s="51" t="s">
        <v>33</v>
      </c>
      <c r="J255" s="65"/>
      <c r="K255" s="51"/>
      <c r="L255" s="69" t="s">
        <v>1062</v>
      </c>
      <c r="M255" s="51" t="s">
        <v>1063</v>
      </c>
    </row>
    <row r="256" spans="1:13">
      <c r="A256" s="98" t="s">
        <v>1073</v>
      </c>
      <c r="B256" s="47">
        <v>1</v>
      </c>
      <c r="C256" s="55">
        <v>2</v>
      </c>
      <c r="D256" s="57" t="s">
        <v>1035</v>
      </c>
      <c r="E256" s="53" t="s">
        <v>836</v>
      </c>
      <c r="F256" s="33" t="s">
        <v>1059</v>
      </c>
      <c r="G256" s="131" t="s">
        <v>1074</v>
      </c>
      <c r="H256" s="42" t="s">
        <v>1075</v>
      </c>
      <c r="I256" s="51" t="s">
        <v>33</v>
      </c>
      <c r="J256" s="65"/>
      <c r="K256" s="51"/>
      <c r="L256" s="69" t="s">
        <v>1062</v>
      </c>
      <c r="M256" s="51" t="s">
        <v>1063</v>
      </c>
    </row>
    <row r="257" spans="1:13">
      <c r="A257" s="98" t="s">
        <v>1076</v>
      </c>
      <c r="B257" s="47">
        <v>1</v>
      </c>
      <c r="C257" s="55">
        <v>1</v>
      </c>
      <c r="D257" s="57" t="s">
        <v>1035</v>
      </c>
      <c r="E257" s="53" t="s">
        <v>836</v>
      </c>
      <c r="F257" s="33" t="s">
        <v>1077</v>
      </c>
      <c r="G257" s="131" t="s">
        <v>1074</v>
      </c>
      <c r="H257" s="42" t="s">
        <v>1075</v>
      </c>
      <c r="I257" s="51" t="s">
        <v>33</v>
      </c>
      <c r="J257" s="65"/>
      <c r="K257" s="51"/>
      <c r="L257" s="69" t="s">
        <v>1062</v>
      </c>
      <c r="M257" s="51" t="s">
        <v>1063</v>
      </c>
    </row>
    <row r="258" spans="1:13">
      <c r="A258" s="98" t="s">
        <v>1078</v>
      </c>
      <c r="B258" s="47">
        <v>1</v>
      </c>
      <c r="C258" s="55">
        <v>1</v>
      </c>
      <c r="D258" s="57" t="s">
        <v>1035</v>
      </c>
      <c r="E258" s="53" t="s">
        <v>193</v>
      </c>
      <c r="F258" s="35" t="s">
        <v>1079</v>
      </c>
      <c r="G258" s="162" t="s">
        <v>1080</v>
      </c>
      <c r="H258" s="43" t="s">
        <v>1081</v>
      </c>
      <c r="I258" s="51" t="s">
        <v>33</v>
      </c>
      <c r="J258" s="65" t="s">
        <v>1082</v>
      </c>
      <c r="K258" s="51" t="s">
        <v>20</v>
      </c>
      <c r="L258" s="69" t="s">
        <v>34</v>
      </c>
      <c r="M258" s="51" t="s">
        <v>57</v>
      </c>
    </row>
    <row r="259" spans="1:13">
      <c r="A259" s="98" t="s">
        <v>1083</v>
      </c>
      <c r="B259" s="47">
        <v>2</v>
      </c>
      <c r="C259" s="55">
        <v>2</v>
      </c>
      <c r="D259" s="57" t="s">
        <v>1035</v>
      </c>
      <c r="E259" s="53" t="s">
        <v>193</v>
      </c>
      <c r="F259" s="110" t="s">
        <v>1084</v>
      </c>
      <c r="G259" s="133" t="s">
        <v>1085</v>
      </c>
      <c r="H259" s="42" t="s">
        <v>1086</v>
      </c>
      <c r="I259" s="51" t="s">
        <v>33</v>
      </c>
      <c r="J259" s="65"/>
      <c r="K259" s="51" t="s">
        <v>88</v>
      </c>
      <c r="L259" s="69"/>
      <c r="M259" s="51" t="s">
        <v>57</v>
      </c>
    </row>
    <row r="260" spans="1:13">
      <c r="A260" s="98" t="s">
        <v>1087</v>
      </c>
      <c r="B260" s="47">
        <v>2</v>
      </c>
      <c r="C260" s="55">
        <v>2</v>
      </c>
      <c r="D260" s="57" t="s">
        <v>1035</v>
      </c>
      <c r="E260" s="53" t="s">
        <v>193</v>
      </c>
      <c r="F260" s="108" t="s">
        <v>1088</v>
      </c>
      <c r="G260" s="130" t="s">
        <v>1089</v>
      </c>
      <c r="H260" s="42" t="s">
        <v>18</v>
      </c>
      <c r="I260" s="51" t="s">
        <v>33</v>
      </c>
      <c r="J260" s="65"/>
      <c r="K260" s="51" t="s">
        <v>20</v>
      </c>
      <c r="L260" s="69"/>
      <c r="M260" s="51"/>
    </row>
    <row r="261" spans="1:13" s="32" customFormat="1">
      <c r="A261" s="98" t="s">
        <v>1090</v>
      </c>
      <c r="B261" s="47"/>
      <c r="C261" s="55">
        <v>3</v>
      </c>
      <c r="D261" s="57" t="s">
        <v>1035</v>
      </c>
      <c r="E261" s="53" t="s">
        <v>193</v>
      </c>
      <c r="F261" s="35" t="s">
        <v>1091</v>
      </c>
      <c r="G261" s="133" t="s">
        <v>1092</v>
      </c>
      <c r="H261" s="42" t="s">
        <v>1093</v>
      </c>
      <c r="I261" s="51" t="s">
        <v>33</v>
      </c>
      <c r="J261" s="65"/>
      <c r="K261" s="51" t="s">
        <v>20</v>
      </c>
      <c r="L261" s="69"/>
      <c r="M261" s="51" t="s">
        <v>57</v>
      </c>
    </row>
    <row r="262" spans="1:13">
      <c r="A262" s="98" t="s">
        <v>1094</v>
      </c>
      <c r="B262" s="47"/>
      <c r="C262" s="55">
        <v>3</v>
      </c>
      <c r="D262" s="57" t="s">
        <v>1035</v>
      </c>
      <c r="E262" s="53" t="s">
        <v>876</v>
      </c>
      <c r="F262" s="38" t="s">
        <v>1095</v>
      </c>
      <c r="G262" s="162" t="s">
        <v>1096</v>
      </c>
      <c r="H262" s="43" t="s">
        <v>1097</v>
      </c>
      <c r="I262" s="51" t="s">
        <v>33</v>
      </c>
      <c r="J262" s="67"/>
      <c r="K262" s="51" t="s">
        <v>20</v>
      </c>
      <c r="L262" s="69" t="s">
        <v>790</v>
      </c>
      <c r="M262" s="51" t="s">
        <v>57</v>
      </c>
    </row>
    <row r="263" spans="1:13">
      <c r="A263" s="98" t="s">
        <v>1098</v>
      </c>
      <c r="B263" s="47"/>
      <c r="C263" s="55">
        <v>2</v>
      </c>
      <c r="D263" s="57" t="s">
        <v>1035</v>
      </c>
      <c r="E263" s="53" t="s">
        <v>1099</v>
      </c>
      <c r="F263" s="33" t="s">
        <v>1100</v>
      </c>
      <c r="G263" s="145" t="s">
        <v>1101</v>
      </c>
      <c r="H263" s="24" t="s">
        <v>1102</v>
      </c>
      <c r="I263" s="51" t="s">
        <v>33</v>
      </c>
      <c r="J263" s="65" t="s">
        <v>1103</v>
      </c>
      <c r="K263" s="51" t="s">
        <v>123</v>
      </c>
      <c r="L263" s="70" t="s">
        <v>1062</v>
      </c>
      <c r="M263" s="51"/>
    </row>
    <row r="264" spans="1:13">
      <c r="A264" s="98" t="s">
        <v>1104</v>
      </c>
      <c r="B264" s="47"/>
      <c r="C264" s="55">
        <v>3</v>
      </c>
      <c r="D264" s="57" t="s">
        <v>1035</v>
      </c>
      <c r="E264" s="51" t="s">
        <v>238</v>
      </c>
      <c r="F264" s="38" t="s">
        <v>909</v>
      </c>
      <c r="G264" s="161" t="s">
        <v>910</v>
      </c>
      <c r="H264" s="43" t="s">
        <v>911</v>
      </c>
      <c r="I264" s="51" t="s">
        <v>33</v>
      </c>
      <c r="J264" s="65"/>
      <c r="K264" s="51" t="s">
        <v>88</v>
      </c>
      <c r="L264" s="69" t="s">
        <v>790</v>
      </c>
      <c r="M264" s="51" t="s">
        <v>57</v>
      </c>
    </row>
    <row r="265" spans="1:13">
      <c r="A265" s="98" t="s">
        <v>1105</v>
      </c>
      <c r="B265" s="47"/>
      <c r="C265" s="55">
        <v>3</v>
      </c>
      <c r="D265" s="57" t="s">
        <v>1035</v>
      </c>
      <c r="E265" s="51" t="s">
        <v>137</v>
      </c>
      <c r="F265" s="36" t="s">
        <v>1106</v>
      </c>
      <c r="G265" s="145" t="s">
        <v>1107</v>
      </c>
      <c r="H265" s="43" t="s">
        <v>1108</v>
      </c>
      <c r="I265" s="51" t="s">
        <v>33</v>
      </c>
      <c r="J265" s="65"/>
      <c r="K265" s="51" t="s">
        <v>88</v>
      </c>
      <c r="L265" s="69" t="s">
        <v>790</v>
      </c>
      <c r="M265" s="51"/>
    </row>
  </sheetData>
  <autoFilter ref="A1:M265" xr:uid="{ADCB22FE-3B72-4BDA-B764-BEDCCE5C4C66}"/>
  <phoneticPr fontId="2" type="noConversion"/>
  <conditionalFormatting sqref="A1 B1:C1048576">
    <cfRule type="cellIs" dxfId="16" priority="2" operator="equal">
      <formula>1</formula>
    </cfRule>
    <cfRule type="cellIs" dxfId="15" priority="3" operator="equal">
      <formula>2</formula>
    </cfRule>
    <cfRule type="cellIs" dxfId="14" priority="4" operator="equal">
      <formula>3</formula>
    </cfRule>
  </conditionalFormatting>
  <conditionalFormatting sqref="A1:A1048576">
    <cfRule type="duplicateValues" dxfId="13" priority="1"/>
  </conditionalFormatting>
  <hyperlinks>
    <hyperlink ref="G68" r:id="rId1" display="Please refer to specific guidance" xr:uid="{9F44F430-0660-4146-8130-716C98531895}"/>
    <hyperlink ref="G67" r:id="rId2" xr:uid="{7832A075-4A03-4495-ACE4-7B5733D769CA}"/>
    <hyperlink ref="G71" r:id="rId3" xr:uid="{28F87B45-FBE0-43CE-9A25-E4502DC1F103}"/>
    <hyperlink ref="G72" r:id="rId4" xr:uid="{77645D32-6BC3-48C9-A5D7-BFEFFE0E749C}"/>
  </hyperlinks>
  <pageMargins left="0.7" right="0.7" top="0.75" bottom="0.75" header="0.3" footer="0.3"/>
  <pageSetup paperSize="9" orientation="portrait" verticalDpi="0" r:id="rId5"/>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E545B-6CDF-4156-A3EE-751DD3B19D0F}">
  <dimension ref="A1:M325"/>
  <sheetViews>
    <sheetView zoomScale="90" zoomScaleNormal="90" workbookViewId="0">
      <pane ySplit="1" topLeftCell="A295" activePane="bottomLeft" state="frozen"/>
      <selection activeCell="C1" sqref="C1"/>
      <selection pane="bottomLeft" activeCell="G113" sqref="G113:G114"/>
    </sheetView>
  </sheetViews>
  <sheetFormatPr defaultColWidth="8.54296875" defaultRowHeight="16"/>
  <cols>
    <col min="1" max="1" width="8.54296875" style="96"/>
    <col min="2" max="2" width="12.453125" style="27" customWidth="1"/>
    <col min="3" max="3" width="12.453125" style="28" customWidth="1"/>
    <col min="4" max="4" width="21.453125" style="23" customWidth="1"/>
    <col min="5" max="5" width="17.54296875" style="22" customWidth="1"/>
    <col min="6" max="6" width="31.453125" style="24" customWidth="1"/>
    <col min="7" max="7" width="105.54296875" style="25" customWidth="1"/>
    <col min="8" max="8" width="31.453125" style="22" customWidth="1"/>
    <col min="9" max="9" width="11.7265625" style="23" customWidth="1"/>
    <col min="10" max="10" width="11.7265625" style="68" customWidth="1"/>
    <col min="11" max="11" width="17.81640625" style="26" customWidth="1"/>
    <col min="12" max="12" width="11.54296875" style="73" customWidth="1"/>
    <col min="13" max="13" width="32.1796875" style="23" customWidth="1"/>
    <col min="14" max="16384" width="8.54296875" style="24"/>
  </cols>
  <sheetData>
    <row r="1" spans="1:13" s="93" customFormat="1" ht="31.5" customHeight="1">
      <c r="A1" s="109" t="s">
        <v>0</v>
      </c>
      <c r="B1" s="86" t="s">
        <v>1</v>
      </c>
      <c r="C1" s="87" t="s">
        <v>2</v>
      </c>
      <c r="D1" s="88" t="s">
        <v>3</v>
      </c>
      <c r="E1" s="88" t="s">
        <v>4</v>
      </c>
      <c r="F1" s="89" t="s">
        <v>5</v>
      </c>
      <c r="G1" s="90" t="s">
        <v>6</v>
      </c>
      <c r="H1" s="91" t="s">
        <v>7</v>
      </c>
      <c r="I1" s="92" t="s">
        <v>8</v>
      </c>
      <c r="J1" s="88" t="s">
        <v>9</v>
      </c>
      <c r="K1" s="91" t="s">
        <v>10</v>
      </c>
      <c r="L1" s="88" t="s">
        <v>11</v>
      </c>
      <c r="M1" s="88" t="s">
        <v>12</v>
      </c>
    </row>
    <row r="2" spans="1:13" ht="16" customHeight="1">
      <c r="A2" s="95" t="s">
        <v>1109</v>
      </c>
      <c r="B2" s="47">
        <v>2</v>
      </c>
      <c r="C2" s="55">
        <v>2</v>
      </c>
      <c r="D2" s="57" t="s">
        <v>161</v>
      </c>
      <c r="E2" s="53" t="s">
        <v>162</v>
      </c>
      <c r="F2" s="80" t="s">
        <v>1110</v>
      </c>
      <c r="G2" s="128" t="s">
        <v>1111</v>
      </c>
      <c r="H2" s="42" t="s">
        <v>18</v>
      </c>
      <c r="I2" s="51" t="s">
        <v>19</v>
      </c>
      <c r="J2" s="65"/>
      <c r="K2" s="51" t="s">
        <v>20</v>
      </c>
      <c r="L2" s="70"/>
      <c r="M2" s="57"/>
    </row>
    <row r="3" spans="1:13" ht="16" customHeight="1">
      <c r="A3" s="95" t="s">
        <v>1112</v>
      </c>
      <c r="B3" s="47"/>
      <c r="C3" s="55">
        <v>3</v>
      </c>
      <c r="D3" s="59" t="s">
        <v>161</v>
      </c>
      <c r="E3" s="53" t="s">
        <v>162</v>
      </c>
      <c r="F3" s="81" t="s">
        <v>1113</v>
      </c>
      <c r="G3" s="129" t="s">
        <v>1114</v>
      </c>
      <c r="H3" s="42" t="s">
        <v>1115</v>
      </c>
      <c r="I3" s="51" t="s">
        <v>19</v>
      </c>
      <c r="J3" s="65"/>
      <c r="K3" s="51" t="s">
        <v>20</v>
      </c>
      <c r="L3" s="70"/>
      <c r="M3" s="51" t="s">
        <v>1116</v>
      </c>
    </row>
    <row r="4" spans="1:13" ht="14.5" customHeight="1">
      <c r="A4" s="95" t="s">
        <v>1117</v>
      </c>
      <c r="B4" s="47">
        <v>2</v>
      </c>
      <c r="C4" s="55">
        <v>2</v>
      </c>
      <c r="D4" s="59" t="s">
        <v>161</v>
      </c>
      <c r="E4" s="53" t="s">
        <v>162</v>
      </c>
      <c r="F4" s="108" t="s">
        <v>1118</v>
      </c>
      <c r="G4" s="130" t="s">
        <v>1119</v>
      </c>
      <c r="H4" s="42" t="s">
        <v>18</v>
      </c>
      <c r="I4" s="51" t="s">
        <v>19</v>
      </c>
      <c r="J4" s="65"/>
      <c r="K4" s="51" t="s">
        <v>20</v>
      </c>
      <c r="L4" s="70"/>
      <c r="M4" s="57"/>
    </row>
    <row r="5" spans="1:13">
      <c r="A5" s="95" t="s">
        <v>1120</v>
      </c>
      <c r="B5" s="47"/>
      <c r="C5" s="55">
        <v>2</v>
      </c>
      <c r="D5" s="59" t="s">
        <v>161</v>
      </c>
      <c r="E5" s="53" t="s">
        <v>162</v>
      </c>
      <c r="F5" s="108" t="s">
        <v>1121</v>
      </c>
      <c r="G5" s="130" t="s">
        <v>1122</v>
      </c>
      <c r="H5" s="42" t="s">
        <v>18</v>
      </c>
      <c r="I5" s="51" t="s">
        <v>19</v>
      </c>
      <c r="J5" s="65"/>
      <c r="K5" s="51" t="s">
        <v>20</v>
      </c>
      <c r="L5" s="70"/>
      <c r="M5" s="25"/>
    </row>
    <row r="6" spans="1:13">
      <c r="A6" s="95" t="s">
        <v>1123</v>
      </c>
      <c r="B6" s="47">
        <v>1</v>
      </c>
      <c r="C6" s="55">
        <v>1</v>
      </c>
      <c r="D6" s="59" t="s">
        <v>161</v>
      </c>
      <c r="E6" s="53" t="s">
        <v>836</v>
      </c>
      <c r="F6" s="33" t="s">
        <v>1124</v>
      </c>
      <c r="G6" s="130" t="s">
        <v>1125</v>
      </c>
      <c r="H6" s="42" t="s">
        <v>1126</v>
      </c>
      <c r="I6" s="51" t="s">
        <v>19</v>
      </c>
      <c r="J6" s="65"/>
      <c r="K6" s="51" t="s">
        <v>20</v>
      </c>
      <c r="L6" s="70"/>
      <c r="M6" s="57"/>
    </row>
    <row r="7" spans="1:13">
      <c r="A7" s="95" t="s">
        <v>1127</v>
      </c>
      <c r="B7" s="47"/>
      <c r="C7" s="55">
        <v>3</v>
      </c>
      <c r="D7" s="59" t="s">
        <v>161</v>
      </c>
      <c r="E7" s="53" t="s">
        <v>836</v>
      </c>
      <c r="F7" s="33" t="s">
        <v>1128</v>
      </c>
      <c r="G7" s="131" t="s">
        <v>1129</v>
      </c>
      <c r="H7" s="42" t="s">
        <v>18</v>
      </c>
      <c r="I7" s="51" t="s">
        <v>19</v>
      </c>
      <c r="J7" s="65"/>
      <c r="K7" s="51" t="s">
        <v>20</v>
      </c>
      <c r="L7" s="70"/>
      <c r="M7" s="57"/>
    </row>
    <row r="8" spans="1:13">
      <c r="A8" s="95" t="s">
        <v>1130</v>
      </c>
      <c r="B8" s="47"/>
      <c r="C8" s="55">
        <v>3</v>
      </c>
      <c r="D8" s="59" t="s">
        <v>161</v>
      </c>
      <c r="E8" s="53" t="s">
        <v>836</v>
      </c>
      <c r="F8" s="33" t="s">
        <v>1131</v>
      </c>
      <c r="G8" s="131" t="s">
        <v>1132</v>
      </c>
      <c r="H8" s="42" t="s">
        <v>18</v>
      </c>
      <c r="I8" s="51" t="s">
        <v>19</v>
      </c>
      <c r="J8" s="65"/>
      <c r="K8" s="51" t="s">
        <v>20</v>
      </c>
      <c r="L8" s="70"/>
      <c r="M8" s="57"/>
    </row>
    <row r="9" spans="1:13">
      <c r="A9" s="95" t="s">
        <v>1133</v>
      </c>
      <c r="B9" s="47"/>
      <c r="C9" s="55">
        <v>3</v>
      </c>
      <c r="D9" s="59" t="s">
        <v>161</v>
      </c>
      <c r="E9" s="53" t="s">
        <v>836</v>
      </c>
      <c r="F9" s="33" t="s">
        <v>1134</v>
      </c>
      <c r="G9" s="131" t="s">
        <v>1135</v>
      </c>
      <c r="H9" s="42" t="s">
        <v>18</v>
      </c>
      <c r="I9" s="51" t="s">
        <v>19</v>
      </c>
      <c r="J9" s="65"/>
      <c r="K9" s="51" t="s">
        <v>20</v>
      </c>
      <c r="L9" s="70"/>
      <c r="M9" s="57"/>
    </row>
    <row r="10" spans="1:13">
      <c r="A10" s="95" t="s">
        <v>1136</v>
      </c>
      <c r="B10" s="47"/>
      <c r="C10" s="55">
        <v>3</v>
      </c>
      <c r="D10" s="59" t="s">
        <v>161</v>
      </c>
      <c r="E10" s="53" t="s">
        <v>836</v>
      </c>
      <c r="F10" s="33" t="s">
        <v>1137</v>
      </c>
      <c r="G10" s="131" t="s">
        <v>1138</v>
      </c>
      <c r="H10" s="42" t="s">
        <v>18</v>
      </c>
      <c r="I10" s="51" t="s">
        <v>19</v>
      </c>
      <c r="J10" s="65"/>
      <c r="K10" s="51" t="s">
        <v>20</v>
      </c>
      <c r="L10" s="70"/>
      <c r="M10" s="57"/>
    </row>
    <row r="11" spans="1:13">
      <c r="A11" s="95" t="s">
        <v>1139</v>
      </c>
      <c r="B11" s="47">
        <v>2</v>
      </c>
      <c r="C11" s="55">
        <v>2</v>
      </c>
      <c r="D11" s="59" t="s">
        <v>161</v>
      </c>
      <c r="E11" s="53" t="s">
        <v>1140</v>
      </c>
      <c r="F11" s="35" t="s">
        <v>1141</v>
      </c>
      <c r="G11" s="132" t="s">
        <v>1142</v>
      </c>
      <c r="H11" s="42" t="s">
        <v>18</v>
      </c>
      <c r="I11" s="51" t="s">
        <v>19</v>
      </c>
      <c r="J11" s="65"/>
      <c r="K11" s="51" t="s">
        <v>20</v>
      </c>
      <c r="L11" s="70"/>
      <c r="M11" s="57" t="s">
        <v>57</v>
      </c>
    </row>
    <row r="12" spans="1:13">
      <c r="A12" s="95" t="s">
        <v>1143</v>
      </c>
      <c r="B12" s="47">
        <v>2</v>
      </c>
      <c r="C12" s="55">
        <v>2</v>
      </c>
      <c r="D12" s="59" t="s">
        <v>161</v>
      </c>
      <c r="E12" s="53" t="s">
        <v>1140</v>
      </c>
      <c r="F12" s="35" t="s">
        <v>1144</v>
      </c>
      <c r="G12" s="132" t="s">
        <v>1145</v>
      </c>
      <c r="H12" s="42" t="s">
        <v>1146</v>
      </c>
      <c r="I12" s="51" t="s">
        <v>19</v>
      </c>
      <c r="J12" s="65"/>
      <c r="K12" s="51" t="s">
        <v>20</v>
      </c>
      <c r="L12" s="70"/>
      <c r="M12" s="57" t="s">
        <v>57</v>
      </c>
    </row>
    <row r="13" spans="1:13">
      <c r="A13" s="95" t="s">
        <v>1147</v>
      </c>
      <c r="B13" s="47"/>
      <c r="C13" s="55">
        <v>2</v>
      </c>
      <c r="D13" s="59" t="s">
        <v>161</v>
      </c>
      <c r="E13" s="53" t="s">
        <v>1148</v>
      </c>
      <c r="F13" s="33" t="s">
        <v>1149</v>
      </c>
      <c r="G13" s="130" t="s">
        <v>1150</v>
      </c>
      <c r="H13" s="42" t="s">
        <v>1151</v>
      </c>
      <c r="I13" s="51" t="s">
        <v>19</v>
      </c>
      <c r="J13" s="65"/>
      <c r="K13" s="51" t="s">
        <v>20</v>
      </c>
      <c r="L13" s="70"/>
      <c r="M13" s="57"/>
    </row>
    <row r="14" spans="1:13">
      <c r="A14" s="95" t="s">
        <v>1152</v>
      </c>
      <c r="B14" s="47"/>
      <c r="C14" s="55">
        <v>3</v>
      </c>
      <c r="D14" s="59" t="s">
        <v>161</v>
      </c>
      <c r="E14" s="53" t="s">
        <v>213</v>
      </c>
      <c r="F14" s="39" t="s">
        <v>1153</v>
      </c>
      <c r="G14" s="131" t="s">
        <v>1154</v>
      </c>
      <c r="H14" s="42" t="s">
        <v>18</v>
      </c>
      <c r="I14" s="51" t="s">
        <v>19</v>
      </c>
      <c r="J14" s="65"/>
      <c r="K14" s="51" t="s">
        <v>20</v>
      </c>
      <c r="L14" s="70"/>
      <c r="M14" s="57"/>
    </row>
    <row r="15" spans="1:13">
      <c r="A15" s="95" t="s">
        <v>1155</v>
      </c>
      <c r="B15" s="47">
        <v>2</v>
      </c>
      <c r="C15" s="55">
        <v>2</v>
      </c>
      <c r="D15" s="59" t="s">
        <v>161</v>
      </c>
      <c r="E15" s="53" t="s">
        <v>836</v>
      </c>
      <c r="F15" s="39" t="s">
        <v>1156</v>
      </c>
      <c r="G15" s="131" t="s">
        <v>1157</v>
      </c>
      <c r="H15" s="42" t="s">
        <v>1158</v>
      </c>
      <c r="I15" s="51" t="s">
        <v>19</v>
      </c>
      <c r="J15" s="65"/>
      <c r="K15" s="51" t="s">
        <v>20</v>
      </c>
      <c r="L15" s="70"/>
      <c r="M15" s="57"/>
    </row>
    <row r="16" spans="1:13">
      <c r="A16" s="95" t="s">
        <v>1159</v>
      </c>
      <c r="B16" s="47">
        <v>2</v>
      </c>
      <c r="C16" s="55">
        <v>2</v>
      </c>
      <c r="D16" s="59" t="s">
        <v>161</v>
      </c>
      <c r="E16" s="53" t="s">
        <v>836</v>
      </c>
      <c r="F16" s="39" t="s">
        <v>1160</v>
      </c>
      <c r="G16" s="130" t="s">
        <v>1161</v>
      </c>
      <c r="H16" s="42" t="s">
        <v>1162</v>
      </c>
      <c r="I16" s="51" t="s">
        <v>19</v>
      </c>
      <c r="J16" s="65"/>
      <c r="K16" s="51"/>
      <c r="L16" s="70"/>
      <c r="M16" s="57"/>
    </row>
    <row r="17" spans="1:13">
      <c r="A17" s="95" t="s">
        <v>1163</v>
      </c>
      <c r="B17" s="47"/>
      <c r="C17" s="55">
        <v>3</v>
      </c>
      <c r="D17" s="59" t="s">
        <v>161</v>
      </c>
      <c r="E17" s="53" t="s">
        <v>213</v>
      </c>
      <c r="F17" s="33" t="s">
        <v>1164</v>
      </c>
      <c r="G17" s="131" t="s">
        <v>1165</v>
      </c>
      <c r="H17" s="42" t="s">
        <v>18</v>
      </c>
      <c r="I17" s="51" t="s">
        <v>19</v>
      </c>
      <c r="J17" s="65"/>
      <c r="K17" s="51" t="s">
        <v>20</v>
      </c>
      <c r="L17" s="70"/>
      <c r="M17" s="57"/>
    </row>
    <row r="18" spans="1:13">
      <c r="A18" s="95" t="s">
        <v>1166</v>
      </c>
      <c r="B18" s="47"/>
      <c r="C18" s="55">
        <v>3</v>
      </c>
      <c r="D18" s="59" t="s">
        <v>161</v>
      </c>
      <c r="E18" s="53" t="s">
        <v>213</v>
      </c>
      <c r="F18" s="33" t="s">
        <v>1167</v>
      </c>
      <c r="G18" s="131" t="s">
        <v>1168</v>
      </c>
      <c r="H18" s="42" t="s">
        <v>18</v>
      </c>
      <c r="I18" s="51" t="s">
        <v>19</v>
      </c>
      <c r="J18" s="65"/>
      <c r="K18" s="51" t="s">
        <v>20</v>
      </c>
      <c r="L18" s="70"/>
      <c r="M18" s="57"/>
    </row>
    <row r="19" spans="1:13">
      <c r="A19" s="95" t="s">
        <v>1169</v>
      </c>
      <c r="B19" s="47"/>
      <c r="C19" s="55">
        <v>3</v>
      </c>
      <c r="D19" s="59" t="s">
        <v>161</v>
      </c>
      <c r="E19" s="53" t="s">
        <v>213</v>
      </c>
      <c r="F19" s="33" t="s">
        <v>1170</v>
      </c>
      <c r="G19" s="131" t="s">
        <v>1171</v>
      </c>
      <c r="H19" s="42" t="s">
        <v>18</v>
      </c>
      <c r="I19" s="51" t="s">
        <v>19</v>
      </c>
      <c r="J19" s="65"/>
      <c r="K19" s="51" t="s">
        <v>20</v>
      </c>
      <c r="L19" s="70"/>
      <c r="M19" s="57"/>
    </row>
    <row r="20" spans="1:13">
      <c r="A20" s="95" t="s">
        <v>1172</v>
      </c>
      <c r="B20" s="47">
        <v>2</v>
      </c>
      <c r="C20" s="55">
        <v>2</v>
      </c>
      <c r="D20" s="59" t="s">
        <v>161</v>
      </c>
      <c r="E20" s="53" t="s">
        <v>351</v>
      </c>
      <c r="F20" s="33" t="s">
        <v>1173</v>
      </c>
      <c r="G20" s="130" t="s">
        <v>1174</v>
      </c>
      <c r="H20" s="42" t="s">
        <v>1175</v>
      </c>
      <c r="I20" s="51" t="s">
        <v>19</v>
      </c>
      <c r="J20" s="65"/>
      <c r="K20" s="51"/>
      <c r="L20" s="70"/>
      <c r="M20" s="57"/>
    </row>
    <row r="21" spans="1:13">
      <c r="A21" s="95" t="s">
        <v>1176</v>
      </c>
      <c r="B21" s="47">
        <v>2</v>
      </c>
      <c r="C21" s="55">
        <v>2</v>
      </c>
      <c r="D21" s="59" t="s">
        <v>161</v>
      </c>
      <c r="E21" s="53" t="s">
        <v>351</v>
      </c>
      <c r="F21" s="33" t="s">
        <v>1177</v>
      </c>
      <c r="G21" s="131" t="s">
        <v>1178</v>
      </c>
      <c r="H21" s="42" t="s">
        <v>18</v>
      </c>
      <c r="I21" s="51" t="s">
        <v>19</v>
      </c>
      <c r="J21" s="65"/>
      <c r="K21" s="51" t="s">
        <v>20</v>
      </c>
      <c r="L21" s="70"/>
      <c r="M21" s="57"/>
    </row>
    <row r="22" spans="1:13">
      <c r="A22" s="95" t="s">
        <v>1179</v>
      </c>
      <c r="B22" s="47">
        <v>3</v>
      </c>
      <c r="C22" s="55">
        <v>3</v>
      </c>
      <c r="D22" s="59" t="s">
        <v>161</v>
      </c>
      <c r="E22" s="53" t="s">
        <v>351</v>
      </c>
      <c r="F22" s="33" t="s">
        <v>1180</v>
      </c>
      <c r="G22" s="131" t="s">
        <v>1181</v>
      </c>
      <c r="H22" s="42" t="s">
        <v>1151</v>
      </c>
      <c r="I22" s="51" t="s">
        <v>19</v>
      </c>
      <c r="J22" s="65"/>
      <c r="K22" s="51" t="s">
        <v>20</v>
      </c>
      <c r="L22" s="70"/>
      <c r="M22" s="57"/>
    </row>
    <row r="23" spans="1:13">
      <c r="A23" s="95" t="s">
        <v>1182</v>
      </c>
      <c r="B23" s="47">
        <v>3</v>
      </c>
      <c r="C23" s="55">
        <v>3</v>
      </c>
      <c r="D23" s="59" t="s">
        <v>161</v>
      </c>
      <c r="E23" s="53" t="s">
        <v>351</v>
      </c>
      <c r="F23" s="33" t="s">
        <v>1183</v>
      </c>
      <c r="G23" s="131" t="s">
        <v>1184</v>
      </c>
      <c r="H23" s="42" t="s">
        <v>1185</v>
      </c>
      <c r="I23" s="51" t="s">
        <v>19</v>
      </c>
      <c r="J23" s="65"/>
      <c r="K23" s="51"/>
      <c r="L23" s="70"/>
      <c r="M23" s="57"/>
    </row>
    <row r="24" spans="1:13">
      <c r="A24" s="95" t="s">
        <v>1186</v>
      </c>
      <c r="B24" s="47">
        <v>2</v>
      </c>
      <c r="C24" s="55">
        <v>2</v>
      </c>
      <c r="D24" s="59" t="s">
        <v>161</v>
      </c>
      <c r="E24" s="53" t="s">
        <v>351</v>
      </c>
      <c r="F24" s="35" t="s">
        <v>1187</v>
      </c>
      <c r="G24" s="133" t="s">
        <v>1188</v>
      </c>
      <c r="H24" s="42" t="s">
        <v>1189</v>
      </c>
      <c r="I24" s="51" t="s">
        <v>19</v>
      </c>
      <c r="J24" s="65"/>
      <c r="K24" s="51" t="s">
        <v>20</v>
      </c>
      <c r="L24" s="70"/>
      <c r="M24" s="57" t="s">
        <v>1190</v>
      </c>
    </row>
    <row r="25" spans="1:13">
      <c r="A25" s="95" t="s">
        <v>1191</v>
      </c>
      <c r="B25" s="47"/>
      <c r="C25" s="55">
        <v>2</v>
      </c>
      <c r="D25" s="59" t="s">
        <v>161</v>
      </c>
      <c r="E25" s="53" t="s">
        <v>351</v>
      </c>
      <c r="F25" s="33" t="s">
        <v>1192</v>
      </c>
      <c r="G25" s="130" t="s">
        <v>1193</v>
      </c>
      <c r="H25" s="42" t="s">
        <v>18</v>
      </c>
      <c r="I25" s="51" t="s">
        <v>19</v>
      </c>
      <c r="J25" s="65"/>
      <c r="K25" s="51" t="s">
        <v>20</v>
      </c>
      <c r="L25" s="70"/>
      <c r="M25" s="57"/>
    </row>
    <row r="26" spans="1:13">
      <c r="A26" s="95" t="s">
        <v>1194</v>
      </c>
      <c r="B26" s="47">
        <v>2</v>
      </c>
      <c r="C26" s="55">
        <v>2</v>
      </c>
      <c r="D26" s="59" t="s">
        <v>161</v>
      </c>
      <c r="E26" s="53" t="s">
        <v>351</v>
      </c>
      <c r="F26" s="33" t="s">
        <v>1195</v>
      </c>
      <c r="G26" s="130" t="s">
        <v>1196</v>
      </c>
      <c r="H26" s="42" t="s">
        <v>18</v>
      </c>
      <c r="I26" s="51" t="s">
        <v>19</v>
      </c>
      <c r="J26" s="65"/>
      <c r="K26" s="51" t="s">
        <v>123</v>
      </c>
      <c r="L26" s="70"/>
      <c r="M26" s="57"/>
    </row>
    <row r="27" spans="1:13">
      <c r="A27" s="95" t="s">
        <v>1197</v>
      </c>
      <c r="B27" s="47"/>
      <c r="C27" s="55">
        <v>3</v>
      </c>
      <c r="D27" s="59" t="s">
        <v>161</v>
      </c>
      <c r="E27" s="53" t="s">
        <v>351</v>
      </c>
      <c r="F27" s="33" t="s">
        <v>1198</v>
      </c>
      <c r="G27" s="130" t="s">
        <v>1199</v>
      </c>
      <c r="H27" s="42" t="s">
        <v>18</v>
      </c>
      <c r="I27" s="51" t="s">
        <v>19</v>
      </c>
      <c r="J27" s="65"/>
      <c r="K27" s="51" t="s">
        <v>20</v>
      </c>
      <c r="L27" s="70"/>
      <c r="M27" s="57"/>
    </row>
    <row r="28" spans="1:13">
      <c r="A28" s="95" t="s">
        <v>1200</v>
      </c>
      <c r="B28" s="47">
        <v>3</v>
      </c>
      <c r="C28" s="55">
        <v>3</v>
      </c>
      <c r="D28" s="59" t="s">
        <v>161</v>
      </c>
      <c r="E28" s="53" t="s">
        <v>351</v>
      </c>
      <c r="F28" s="33" t="s">
        <v>1201</v>
      </c>
      <c r="G28" s="130" t="s">
        <v>1202</v>
      </c>
      <c r="H28" s="42" t="s">
        <v>18</v>
      </c>
      <c r="I28" s="51" t="s">
        <v>19</v>
      </c>
      <c r="J28" s="65"/>
      <c r="K28" s="51" t="s">
        <v>88</v>
      </c>
      <c r="L28" s="70"/>
      <c r="M28" s="57"/>
    </row>
    <row r="29" spans="1:13">
      <c r="A29" s="95" t="s">
        <v>1203</v>
      </c>
      <c r="B29" s="47"/>
      <c r="C29" s="55">
        <v>3</v>
      </c>
      <c r="D29" s="59" t="s">
        <v>161</v>
      </c>
      <c r="E29" s="53" t="s">
        <v>351</v>
      </c>
      <c r="F29" s="35" t="s">
        <v>1204</v>
      </c>
      <c r="G29" s="133" t="s">
        <v>1205</v>
      </c>
      <c r="H29" s="42" t="s">
        <v>1206</v>
      </c>
      <c r="I29" s="51" t="s">
        <v>19</v>
      </c>
      <c r="J29" s="65"/>
      <c r="K29" s="51" t="s">
        <v>20</v>
      </c>
      <c r="L29" s="70"/>
      <c r="M29" s="57" t="s">
        <v>1207</v>
      </c>
    </row>
    <row r="30" spans="1:13">
      <c r="A30" s="95" t="s">
        <v>1208</v>
      </c>
      <c r="B30" s="47">
        <v>3</v>
      </c>
      <c r="C30" s="55">
        <v>3</v>
      </c>
      <c r="D30" s="57" t="s">
        <v>161</v>
      </c>
      <c r="E30" s="53" t="s">
        <v>1209</v>
      </c>
      <c r="F30" s="36" t="s">
        <v>1210</v>
      </c>
      <c r="G30" s="134" t="s">
        <v>1211</v>
      </c>
      <c r="H30" s="42" t="s">
        <v>724</v>
      </c>
      <c r="I30" s="51" t="s">
        <v>19</v>
      </c>
      <c r="J30" s="65" t="s">
        <v>1212</v>
      </c>
      <c r="K30" s="51"/>
      <c r="L30" s="70"/>
      <c r="M30" s="57" t="s">
        <v>1213</v>
      </c>
    </row>
    <row r="31" spans="1:13">
      <c r="A31" s="95" t="s">
        <v>1214</v>
      </c>
      <c r="B31" s="47">
        <v>3</v>
      </c>
      <c r="C31" s="55">
        <v>3</v>
      </c>
      <c r="D31" s="57" t="s">
        <v>161</v>
      </c>
      <c r="E31" s="53" t="s">
        <v>1209</v>
      </c>
      <c r="F31" s="36" t="s">
        <v>1215</v>
      </c>
      <c r="G31" s="134" t="s">
        <v>1216</v>
      </c>
      <c r="H31" s="42" t="s">
        <v>724</v>
      </c>
      <c r="I31" s="51" t="s">
        <v>19</v>
      </c>
      <c r="J31" s="65" t="s">
        <v>1212</v>
      </c>
      <c r="K31" s="51"/>
      <c r="L31" s="70"/>
      <c r="M31" s="57" t="s">
        <v>1213</v>
      </c>
    </row>
    <row r="32" spans="1:13">
      <c r="A32" s="95" t="s">
        <v>1217</v>
      </c>
      <c r="B32" s="47">
        <v>3</v>
      </c>
      <c r="C32" s="55">
        <v>3</v>
      </c>
      <c r="D32" s="57" t="s">
        <v>161</v>
      </c>
      <c r="E32" s="53" t="s">
        <v>1209</v>
      </c>
      <c r="F32" s="36" t="s">
        <v>1218</v>
      </c>
      <c r="G32" s="135" t="s">
        <v>1219</v>
      </c>
      <c r="H32" s="42" t="s">
        <v>724</v>
      </c>
      <c r="I32" s="51" t="s">
        <v>19</v>
      </c>
      <c r="J32" s="65" t="s">
        <v>1212</v>
      </c>
      <c r="K32" s="51"/>
      <c r="L32" s="70"/>
      <c r="M32" s="57" t="s">
        <v>1213</v>
      </c>
    </row>
    <row r="33" spans="1:13">
      <c r="A33" s="95" t="s">
        <v>1220</v>
      </c>
      <c r="B33" s="47">
        <v>3</v>
      </c>
      <c r="C33" s="55">
        <v>3</v>
      </c>
      <c r="D33" s="57" t="s">
        <v>161</v>
      </c>
      <c r="E33" s="53" t="s">
        <v>1209</v>
      </c>
      <c r="F33" s="36" t="s">
        <v>1221</v>
      </c>
      <c r="G33" s="135" t="s">
        <v>1222</v>
      </c>
      <c r="H33" s="42" t="s">
        <v>724</v>
      </c>
      <c r="I33" s="51" t="s">
        <v>19</v>
      </c>
      <c r="J33" s="65" t="s">
        <v>1212</v>
      </c>
      <c r="K33" s="51"/>
      <c r="L33" s="70"/>
      <c r="M33" s="57" t="s">
        <v>1213</v>
      </c>
    </row>
    <row r="34" spans="1:13">
      <c r="A34" s="95" t="s">
        <v>1223</v>
      </c>
      <c r="B34" s="47">
        <v>3</v>
      </c>
      <c r="C34" s="55">
        <v>3</v>
      </c>
      <c r="D34" s="57" t="s">
        <v>161</v>
      </c>
      <c r="E34" s="53" t="s">
        <v>1209</v>
      </c>
      <c r="F34" s="36" t="s">
        <v>1224</v>
      </c>
      <c r="G34" s="135" t="s">
        <v>1225</v>
      </c>
      <c r="H34" s="42" t="s">
        <v>724</v>
      </c>
      <c r="I34" s="51" t="s">
        <v>19</v>
      </c>
      <c r="J34" s="65" t="s">
        <v>1212</v>
      </c>
      <c r="K34" s="51"/>
      <c r="L34" s="70"/>
      <c r="M34" s="57" t="s">
        <v>1213</v>
      </c>
    </row>
    <row r="35" spans="1:13">
      <c r="A35" s="95" t="s">
        <v>1226</v>
      </c>
      <c r="B35" s="47">
        <v>2</v>
      </c>
      <c r="C35" s="55">
        <v>2</v>
      </c>
      <c r="D35" s="59" t="s">
        <v>161</v>
      </c>
      <c r="E35" s="53" t="s">
        <v>1227</v>
      </c>
      <c r="F35" s="35" t="s">
        <v>1228</v>
      </c>
      <c r="G35" s="136" t="s">
        <v>1229</v>
      </c>
      <c r="H35" s="42" t="s">
        <v>1230</v>
      </c>
      <c r="I35" s="51" t="s">
        <v>19</v>
      </c>
      <c r="J35" s="65"/>
      <c r="K35" s="51" t="s">
        <v>20</v>
      </c>
      <c r="L35" s="70"/>
      <c r="M35" s="57" t="s">
        <v>1231</v>
      </c>
    </row>
    <row r="36" spans="1:13">
      <c r="A36" s="95" t="s">
        <v>1232</v>
      </c>
      <c r="B36" s="47">
        <v>2</v>
      </c>
      <c r="C36" s="55">
        <v>2</v>
      </c>
      <c r="D36" s="59" t="s">
        <v>161</v>
      </c>
      <c r="E36" s="53" t="s">
        <v>1227</v>
      </c>
      <c r="F36" s="35" t="s">
        <v>1233</v>
      </c>
      <c r="G36" s="136" t="s">
        <v>1234</v>
      </c>
      <c r="H36" s="42" t="s">
        <v>1235</v>
      </c>
      <c r="I36" s="51" t="s">
        <v>19</v>
      </c>
      <c r="J36" s="65"/>
      <c r="K36" s="51" t="s">
        <v>20</v>
      </c>
      <c r="L36" s="70"/>
      <c r="M36" s="57" t="s">
        <v>1236</v>
      </c>
    </row>
    <row r="37" spans="1:13">
      <c r="A37" s="95" t="s">
        <v>1237</v>
      </c>
      <c r="B37" s="47">
        <v>2</v>
      </c>
      <c r="C37" s="55">
        <v>2</v>
      </c>
      <c r="D37" s="59" t="s">
        <v>161</v>
      </c>
      <c r="E37" s="53" t="s">
        <v>1227</v>
      </c>
      <c r="F37" s="35" t="s">
        <v>1238</v>
      </c>
      <c r="G37" s="136" t="s">
        <v>1239</v>
      </c>
      <c r="H37" s="42" t="s">
        <v>1240</v>
      </c>
      <c r="I37" s="51" t="s">
        <v>19</v>
      </c>
      <c r="J37" s="65"/>
      <c r="K37" s="51" t="s">
        <v>20</v>
      </c>
      <c r="L37" s="70"/>
      <c r="M37" s="57" t="s">
        <v>1241</v>
      </c>
    </row>
    <row r="38" spans="1:13">
      <c r="A38" s="95" t="s">
        <v>1242</v>
      </c>
      <c r="B38" s="47">
        <v>2</v>
      </c>
      <c r="C38" s="55">
        <v>3</v>
      </c>
      <c r="D38" s="59" t="s">
        <v>161</v>
      </c>
      <c r="E38" s="53" t="s">
        <v>1227</v>
      </c>
      <c r="F38" s="34" t="s">
        <v>1243</v>
      </c>
      <c r="G38" s="131" t="s">
        <v>1244</v>
      </c>
      <c r="H38" s="42" t="s">
        <v>18</v>
      </c>
      <c r="I38" s="51" t="s">
        <v>19</v>
      </c>
      <c r="J38" s="65"/>
      <c r="K38" s="51" t="s">
        <v>20</v>
      </c>
      <c r="L38" s="70"/>
      <c r="M38" s="57" t="s">
        <v>1245</v>
      </c>
    </row>
    <row r="39" spans="1:13">
      <c r="A39" s="95" t="s">
        <v>1246</v>
      </c>
      <c r="B39" s="47">
        <v>2</v>
      </c>
      <c r="C39" s="55">
        <v>3</v>
      </c>
      <c r="D39" s="59" t="s">
        <v>161</v>
      </c>
      <c r="E39" s="53" t="s">
        <v>1227</v>
      </c>
      <c r="F39" s="34" t="s">
        <v>1247</v>
      </c>
      <c r="G39" s="131" t="s">
        <v>1248</v>
      </c>
      <c r="H39" s="42" t="s">
        <v>18</v>
      </c>
      <c r="I39" s="51" t="s">
        <v>19</v>
      </c>
      <c r="J39" s="65"/>
      <c r="K39" s="51" t="s">
        <v>20</v>
      </c>
      <c r="L39" s="70"/>
      <c r="M39" s="57" t="s">
        <v>1245</v>
      </c>
    </row>
    <row r="40" spans="1:13">
      <c r="A40" s="95" t="s">
        <v>1249</v>
      </c>
      <c r="B40" s="47">
        <v>2</v>
      </c>
      <c r="C40" s="55">
        <v>3</v>
      </c>
      <c r="D40" s="59" t="s">
        <v>161</v>
      </c>
      <c r="E40" s="53" t="s">
        <v>1227</v>
      </c>
      <c r="F40" s="34" t="s">
        <v>1250</v>
      </c>
      <c r="G40" s="130" t="s">
        <v>1251</v>
      </c>
      <c r="H40" s="42" t="s">
        <v>18</v>
      </c>
      <c r="I40" s="51" t="s">
        <v>19</v>
      </c>
      <c r="J40" s="65"/>
      <c r="K40" s="51" t="s">
        <v>20</v>
      </c>
      <c r="L40" s="70"/>
      <c r="M40" s="57" t="s">
        <v>1245</v>
      </c>
    </row>
    <row r="41" spans="1:13">
      <c r="A41" s="95" t="s">
        <v>1252</v>
      </c>
      <c r="B41" s="47">
        <v>2</v>
      </c>
      <c r="C41" s="55">
        <v>3</v>
      </c>
      <c r="D41" s="59" t="s">
        <v>161</v>
      </c>
      <c r="E41" s="53" t="s">
        <v>1227</v>
      </c>
      <c r="F41" s="34" t="s">
        <v>1253</v>
      </c>
      <c r="G41" s="130" t="s">
        <v>1254</v>
      </c>
      <c r="H41" s="42" t="s">
        <v>18</v>
      </c>
      <c r="I41" s="51" t="s">
        <v>19</v>
      </c>
      <c r="J41" s="65"/>
      <c r="K41" s="51" t="s">
        <v>20</v>
      </c>
      <c r="L41" s="70"/>
      <c r="M41" s="57" t="s">
        <v>1245</v>
      </c>
    </row>
    <row r="42" spans="1:13">
      <c r="A42" s="95" t="s">
        <v>1255</v>
      </c>
      <c r="B42" s="47"/>
      <c r="C42" s="55">
        <v>3</v>
      </c>
      <c r="D42" s="59" t="s">
        <v>161</v>
      </c>
      <c r="E42" s="53" t="s">
        <v>85</v>
      </c>
      <c r="F42" s="35" t="s">
        <v>1256</v>
      </c>
      <c r="G42" s="133" t="s">
        <v>1257</v>
      </c>
      <c r="H42" s="42" t="s">
        <v>18</v>
      </c>
      <c r="I42" s="51" t="s">
        <v>19</v>
      </c>
      <c r="J42" s="65"/>
      <c r="K42" s="51" t="s">
        <v>123</v>
      </c>
      <c r="L42" s="70"/>
      <c r="M42" s="57" t="s">
        <v>57</v>
      </c>
    </row>
    <row r="43" spans="1:13">
      <c r="A43" s="95" t="s">
        <v>1258</v>
      </c>
      <c r="B43" s="47"/>
      <c r="C43" s="55">
        <v>3</v>
      </c>
      <c r="D43" s="59" t="s">
        <v>161</v>
      </c>
      <c r="E43" s="53" t="s">
        <v>85</v>
      </c>
      <c r="F43" s="35" t="s">
        <v>1259</v>
      </c>
      <c r="G43" s="133" t="s">
        <v>1260</v>
      </c>
      <c r="H43" s="42" t="s">
        <v>18</v>
      </c>
      <c r="I43" s="51" t="s">
        <v>19</v>
      </c>
      <c r="J43" s="65"/>
      <c r="K43" s="51" t="s">
        <v>20</v>
      </c>
      <c r="L43" s="70"/>
      <c r="M43" s="57" t="s">
        <v>57</v>
      </c>
    </row>
    <row r="44" spans="1:13">
      <c r="A44" s="95" t="s">
        <v>1261</v>
      </c>
      <c r="B44" s="47"/>
      <c r="C44" s="55">
        <v>3</v>
      </c>
      <c r="D44" s="59" t="s">
        <v>161</v>
      </c>
      <c r="E44" s="53" t="s">
        <v>85</v>
      </c>
      <c r="F44" s="110" t="s">
        <v>1262</v>
      </c>
      <c r="G44" s="132" t="s">
        <v>1263</v>
      </c>
      <c r="H44" s="42" t="s">
        <v>18</v>
      </c>
      <c r="I44" s="51" t="s">
        <v>19</v>
      </c>
      <c r="J44" s="65"/>
      <c r="K44" s="51" t="s">
        <v>20</v>
      </c>
      <c r="L44" s="70"/>
      <c r="M44" s="57" t="s">
        <v>57</v>
      </c>
    </row>
    <row r="45" spans="1:13">
      <c r="A45" s="95" t="s">
        <v>1264</v>
      </c>
      <c r="B45" s="47"/>
      <c r="C45" s="55">
        <v>3</v>
      </c>
      <c r="D45" s="59" t="s">
        <v>161</v>
      </c>
      <c r="E45" s="53" t="s">
        <v>85</v>
      </c>
      <c r="F45" s="110" t="s">
        <v>1265</v>
      </c>
      <c r="G45" s="132" t="s">
        <v>1266</v>
      </c>
      <c r="H45" s="42" t="s">
        <v>18</v>
      </c>
      <c r="I45" s="51" t="s">
        <v>19</v>
      </c>
      <c r="J45" s="65"/>
      <c r="K45" s="51" t="s">
        <v>20</v>
      </c>
      <c r="L45" s="70"/>
      <c r="M45" s="57" t="s">
        <v>57</v>
      </c>
    </row>
    <row r="46" spans="1:13">
      <c r="A46" s="95" t="s">
        <v>1267</v>
      </c>
      <c r="B46" s="47"/>
      <c r="C46" s="55">
        <v>3</v>
      </c>
      <c r="D46" s="59" t="s">
        <v>161</v>
      </c>
      <c r="E46" s="53" t="s">
        <v>1268</v>
      </c>
      <c r="F46" s="33" t="s">
        <v>1269</v>
      </c>
      <c r="G46" s="131" t="s">
        <v>1270</v>
      </c>
      <c r="H46" s="42" t="s">
        <v>18</v>
      </c>
      <c r="I46" s="51" t="s">
        <v>19</v>
      </c>
      <c r="J46" s="65"/>
      <c r="K46" s="51" t="s">
        <v>20</v>
      </c>
      <c r="L46" s="70"/>
      <c r="M46" s="57"/>
    </row>
    <row r="47" spans="1:13">
      <c r="A47" s="95" t="s">
        <v>1271</v>
      </c>
      <c r="B47" s="47">
        <v>3</v>
      </c>
      <c r="C47" s="55">
        <v>2</v>
      </c>
      <c r="D47" s="59" t="s">
        <v>161</v>
      </c>
      <c r="E47" s="53" t="s">
        <v>1268</v>
      </c>
      <c r="F47" s="33" t="s">
        <v>1272</v>
      </c>
      <c r="G47" s="130" t="s">
        <v>1273</v>
      </c>
      <c r="H47" s="42" t="s">
        <v>1274</v>
      </c>
      <c r="I47" s="51" t="s">
        <v>19</v>
      </c>
      <c r="J47" s="65"/>
      <c r="K47" s="51" t="s">
        <v>20</v>
      </c>
      <c r="L47" s="70"/>
      <c r="M47" s="57"/>
    </row>
    <row r="48" spans="1:13">
      <c r="A48" s="95" t="s">
        <v>1275</v>
      </c>
      <c r="B48" s="47">
        <v>3</v>
      </c>
      <c r="C48" s="55">
        <v>2</v>
      </c>
      <c r="D48" s="59" t="s">
        <v>161</v>
      </c>
      <c r="E48" s="53" t="s">
        <v>1268</v>
      </c>
      <c r="F48" s="33" t="s">
        <v>1276</v>
      </c>
      <c r="G48" s="130" t="s">
        <v>1277</v>
      </c>
      <c r="H48" s="42" t="s">
        <v>18</v>
      </c>
      <c r="I48" s="51" t="s">
        <v>19</v>
      </c>
      <c r="J48" s="65"/>
      <c r="K48" s="51" t="s">
        <v>20</v>
      </c>
      <c r="L48" s="70"/>
      <c r="M48" s="57"/>
    </row>
    <row r="49" spans="1:13">
      <c r="A49" s="95" t="s">
        <v>1278</v>
      </c>
      <c r="B49" s="47">
        <v>1</v>
      </c>
      <c r="C49" s="55">
        <v>1</v>
      </c>
      <c r="D49" s="59" t="s">
        <v>161</v>
      </c>
      <c r="E49" s="53" t="s">
        <v>1268</v>
      </c>
      <c r="F49" s="35" t="s">
        <v>1279</v>
      </c>
      <c r="G49" s="133" t="s">
        <v>1280</v>
      </c>
      <c r="H49" s="42" t="s">
        <v>1281</v>
      </c>
      <c r="I49" s="51" t="s">
        <v>19</v>
      </c>
      <c r="J49" s="65"/>
      <c r="K49" s="51" t="s">
        <v>20</v>
      </c>
      <c r="L49" s="70"/>
      <c r="M49" s="57" t="s">
        <v>57</v>
      </c>
    </row>
    <row r="50" spans="1:13">
      <c r="A50" s="95" t="s">
        <v>1282</v>
      </c>
      <c r="B50" s="47"/>
      <c r="C50" s="55">
        <v>3</v>
      </c>
      <c r="D50" s="59" t="s">
        <v>161</v>
      </c>
      <c r="E50" s="53" t="s">
        <v>1268</v>
      </c>
      <c r="F50" s="35" t="s">
        <v>1283</v>
      </c>
      <c r="G50" s="136" t="s">
        <v>1284</v>
      </c>
      <c r="H50" s="42" t="s">
        <v>18</v>
      </c>
      <c r="I50" s="51" t="s">
        <v>19</v>
      </c>
      <c r="J50" s="65"/>
      <c r="K50" s="51" t="s">
        <v>20</v>
      </c>
      <c r="L50" s="70"/>
      <c r="M50" s="57" t="s">
        <v>57</v>
      </c>
    </row>
    <row r="51" spans="1:13">
      <c r="A51" s="95" t="s">
        <v>1285</v>
      </c>
      <c r="B51" s="47"/>
      <c r="C51" s="55">
        <v>3</v>
      </c>
      <c r="D51" s="59" t="s">
        <v>161</v>
      </c>
      <c r="E51" s="53" t="s">
        <v>1268</v>
      </c>
      <c r="F51" s="35" t="s">
        <v>1286</v>
      </c>
      <c r="G51" s="136" t="s">
        <v>1287</v>
      </c>
      <c r="H51" s="42" t="s">
        <v>1288</v>
      </c>
      <c r="I51" s="51" t="s">
        <v>19</v>
      </c>
      <c r="J51" s="65"/>
      <c r="K51" s="51" t="s">
        <v>20</v>
      </c>
      <c r="L51" s="70"/>
      <c r="M51" s="57" t="s">
        <v>57</v>
      </c>
    </row>
    <row r="52" spans="1:13">
      <c r="A52" s="95" t="s">
        <v>1289</v>
      </c>
      <c r="B52" s="47"/>
      <c r="C52" s="55">
        <v>3</v>
      </c>
      <c r="D52" s="59" t="s">
        <v>161</v>
      </c>
      <c r="E52" s="53" t="s">
        <v>1268</v>
      </c>
      <c r="F52" s="35" t="s">
        <v>1290</v>
      </c>
      <c r="G52" s="133" t="s">
        <v>1291</v>
      </c>
      <c r="H52" s="42" t="s">
        <v>1292</v>
      </c>
      <c r="I52" s="51" t="s">
        <v>19</v>
      </c>
      <c r="J52" s="65"/>
      <c r="K52" s="51" t="s">
        <v>20</v>
      </c>
      <c r="L52" s="70"/>
      <c r="M52" s="57" t="s">
        <v>57</v>
      </c>
    </row>
    <row r="53" spans="1:13">
      <c r="A53" s="95" t="s">
        <v>1293</v>
      </c>
      <c r="B53" s="47"/>
      <c r="C53" s="55">
        <v>3</v>
      </c>
      <c r="D53" s="59" t="s">
        <v>161</v>
      </c>
      <c r="E53" s="53" t="s">
        <v>1268</v>
      </c>
      <c r="F53" s="35" t="s">
        <v>1294</v>
      </c>
      <c r="G53" s="133" t="s">
        <v>1295</v>
      </c>
      <c r="H53" s="42" t="s">
        <v>1296</v>
      </c>
      <c r="I53" s="51" t="s">
        <v>19</v>
      </c>
      <c r="J53" s="65"/>
      <c r="K53" s="51" t="s">
        <v>20</v>
      </c>
      <c r="L53" s="70"/>
      <c r="M53" s="57" t="s">
        <v>57</v>
      </c>
    </row>
    <row r="54" spans="1:13">
      <c r="A54" s="95" t="s">
        <v>1297</v>
      </c>
      <c r="B54" s="47"/>
      <c r="C54" s="55">
        <v>3</v>
      </c>
      <c r="D54" s="59" t="s">
        <v>161</v>
      </c>
      <c r="E54" s="53" t="s">
        <v>1298</v>
      </c>
      <c r="F54" s="35" t="s">
        <v>1299</v>
      </c>
      <c r="G54" s="133" t="s">
        <v>1300</v>
      </c>
      <c r="H54" s="42" t="s">
        <v>1301</v>
      </c>
      <c r="I54" s="51" t="s">
        <v>19</v>
      </c>
      <c r="J54" s="65"/>
      <c r="K54" s="51" t="s">
        <v>20</v>
      </c>
      <c r="L54" s="70"/>
      <c r="M54" s="57" t="s">
        <v>57</v>
      </c>
    </row>
    <row r="55" spans="1:13">
      <c r="A55" s="95" t="s">
        <v>1302</v>
      </c>
      <c r="B55" s="47"/>
      <c r="C55" s="55">
        <v>3</v>
      </c>
      <c r="D55" s="59" t="s">
        <v>161</v>
      </c>
      <c r="E55" s="53" t="s">
        <v>1298</v>
      </c>
      <c r="F55" s="35" t="s">
        <v>1303</v>
      </c>
      <c r="G55" s="136" t="s">
        <v>1304</v>
      </c>
      <c r="H55" s="42" t="s">
        <v>1305</v>
      </c>
      <c r="I55" s="51" t="s">
        <v>19</v>
      </c>
      <c r="J55" s="65"/>
      <c r="K55" s="51" t="s">
        <v>20</v>
      </c>
      <c r="L55" s="70"/>
      <c r="M55" s="57" t="s">
        <v>57</v>
      </c>
    </row>
    <row r="56" spans="1:13">
      <c r="A56" s="95" t="s">
        <v>1306</v>
      </c>
      <c r="B56" s="47">
        <v>2</v>
      </c>
      <c r="C56" s="55">
        <v>1</v>
      </c>
      <c r="D56" s="59" t="s">
        <v>161</v>
      </c>
      <c r="E56" s="53" t="s">
        <v>351</v>
      </c>
      <c r="F56" s="33" t="s">
        <v>1307</v>
      </c>
      <c r="G56" s="130" t="s">
        <v>1308</v>
      </c>
      <c r="H56" s="42" t="s">
        <v>1309</v>
      </c>
      <c r="I56" s="51" t="s">
        <v>19</v>
      </c>
      <c r="J56" s="65"/>
      <c r="K56" s="51" t="s">
        <v>20</v>
      </c>
      <c r="L56" s="70"/>
      <c r="M56" s="57"/>
    </row>
    <row r="57" spans="1:13">
      <c r="A57" s="95" t="s">
        <v>1310</v>
      </c>
      <c r="B57" s="47">
        <v>2</v>
      </c>
      <c r="C57" s="55">
        <v>2</v>
      </c>
      <c r="D57" s="59" t="s">
        <v>161</v>
      </c>
      <c r="E57" s="53" t="s">
        <v>1311</v>
      </c>
      <c r="F57" s="33" t="s">
        <v>1312</v>
      </c>
      <c r="G57" s="130" t="s">
        <v>1313</v>
      </c>
      <c r="H57" s="42" t="s">
        <v>18</v>
      </c>
      <c r="I57" s="51" t="s">
        <v>19</v>
      </c>
      <c r="J57" s="65"/>
      <c r="K57" s="51" t="s">
        <v>20</v>
      </c>
      <c r="L57" s="70"/>
      <c r="M57" s="57"/>
    </row>
    <row r="58" spans="1:13">
      <c r="A58" s="95" t="s">
        <v>1314</v>
      </c>
      <c r="B58" s="47">
        <v>3</v>
      </c>
      <c r="C58" s="55">
        <v>2</v>
      </c>
      <c r="D58" s="59" t="s">
        <v>161</v>
      </c>
      <c r="E58" s="53" t="s">
        <v>1311</v>
      </c>
      <c r="F58" s="33" t="s">
        <v>1315</v>
      </c>
      <c r="G58" s="130" t="s">
        <v>1316</v>
      </c>
      <c r="H58" s="42" t="s">
        <v>18</v>
      </c>
      <c r="I58" s="51" t="s">
        <v>19</v>
      </c>
      <c r="J58" s="65"/>
      <c r="K58" s="51" t="s">
        <v>20</v>
      </c>
      <c r="L58" s="70"/>
      <c r="M58" s="57"/>
    </row>
    <row r="59" spans="1:13">
      <c r="A59" s="95" t="s">
        <v>1317</v>
      </c>
      <c r="B59" s="47"/>
      <c r="C59" s="55">
        <v>3</v>
      </c>
      <c r="D59" s="59" t="s">
        <v>161</v>
      </c>
      <c r="E59" s="53" t="s">
        <v>1311</v>
      </c>
      <c r="F59" s="33" t="s">
        <v>1318</v>
      </c>
      <c r="G59" s="130" t="s">
        <v>1319</v>
      </c>
      <c r="H59" s="42" t="s">
        <v>1320</v>
      </c>
      <c r="I59" s="51" t="s">
        <v>19</v>
      </c>
      <c r="J59" s="65"/>
      <c r="K59" s="51" t="s">
        <v>20</v>
      </c>
      <c r="L59" s="70"/>
      <c r="M59" s="57"/>
    </row>
    <row r="60" spans="1:13">
      <c r="A60" s="95" t="s">
        <v>1321</v>
      </c>
      <c r="B60" s="47">
        <v>2</v>
      </c>
      <c r="C60" s="55">
        <v>2</v>
      </c>
      <c r="D60" s="59" t="s">
        <v>161</v>
      </c>
      <c r="E60" s="53" t="s">
        <v>1311</v>
      </c>
      <c r="F60" s="33" t="s">
        <v>1322</v>
      </c>
      <c r="G60" s="130" t="s">
        <v>1323</v>
      </c>
      <c r="H60" s="42" t="s">
        <v>1324</v>
      </c>
      <c r="I60" s="51" t="s">
        <v>19</v>
      </c>
      <c r="J60" s="65"/>
      <c r="K60" s="51" t="s">
        <v>20</v>
      </c>
      <c r="L60" s="70"/>
      <c r="M60" s="57"/>
    </row>
    <row r="61" spans="1:13">
      <c r="A61" s="95" t="s">
        <v>1325</v>
      </c>
      <c r="B61" s="47"/>
      <c r="C61" s="55">
        <v>3</v>
      </c>
      <c r="D61" s="59" t="s">
        <v>161</v>
      </c>
      <c r="E61" s="53" t="s">
        <v>1311</v>
      </c>
      <c r="F61" s="33" t="s">
        <v>1326</v>
      </c>
      <c r="G61" s="131" t="s">
        <v>1327</v>
      </c>
      <c r="H61" s="42" t="s">
        <v>18</v>
      </c>
      <c r="I61" s="51" t="s">
        <v>19</v>
      </c>
      <c r="J61" s="65"/>
      <c r="K61" s="51" t="s">
        <v>20</v>
      </c>
      <c r="L61" s="70"/>
      <c r="M61" s="57"/>
    </row>
    <row r="62" spans="1:13">
      <c r="A62" s="95" t="s">
        <v>1328</v>
      </c>
      <c r="B62" s="47">
        <v>2</v>
      </c>
      <c r="C62" s="55">
        <v>2</v>
      </c>
      <c r="D62" s="59" t="s">
        <v>161</v>
      </c>
      <c r="E62" s="53" t="s">
        <v>1311</v>
      </c>
      <c r="F62" s="35" t="s">
        <v>1329</v>
      </c>
      <c r="G62" s="133" t="s">
        <v>1330</v>
      </c>
      <c r="H62" s="42" t="s">
        <v>18</v>
      </c>
      <c r="I62" s="51" t="s">
        <v>19</v>
      </c>
      <c r="J62" s="65"/>
      <c r="K62" s="51" t="s">
        <v>20</v>
      </c>
      <c r="L62" s="70"/>
      <c r="M62" s="57" t="s">
        <v>57</v>
      </c>
    </row>
    <row r="63" spans="1:13">
      <c r="A63" s="95" t="s">
        <v>1331</v>
      </c>
      <c r="B63" s="47">
        <v>2</v>
      </c>
      <c r="C63" s="55">
        <v>2</v>
      </c>
      <c r="D63" s="59" t="s">
        <v>161</v>
      </c>
      <c r="E63" s="53" t="s">
        <v>1311</v>
      </c>
      <c r="F63" s="34" t="s">
        <v>1332</v>
      </c>
      <c r="G63" s="130" t="s">
        <v>1333</v>
      </c>
      <c r="H63" s="42" t="s">
        <v>1334</v>
      </c>
      <c r="I63" s="51" t="s">
        <v>19</v>
      </c>
      <c r="J63" s="65"/>
      <c r="K63" s="51"/>
      <c r="L63" s="70"/>
      <c r="M63" s="57"/>
    </row>
    <row r="64" spans="1:13">
      <c r="A64" s="95" t="s">
        <v>1335</v>
      </c>
      <c r="B64" s="47">
        <v>1</v>
      </c>
      <c r="C64" s="55">
        <v>1</v>
      </c>
      <c r="D64" s="59" t="s">
        <v>161</v>
      </c>
      <c r="E64" s="53" t="s">
        <v>1336</v>
      </c>
      <c r="F64" s="35" t="s">
        <v>1337</v>
      </c>
      <c r="G64" s="133" t="s">
        <v>1338</v>
      </c>
      <c r="H64" s="42" t="s">
        <v>1339</v>
      </c>
      <c r="I64" s="51" t="s">
        <v>19</v>
      </c>
      <c r="J64" s="65"/>
      <c r="K64" s="51" t="s">
        <v>20</v>
      </c>
      <c r="L64" s="70"/>
      <c r="M64" s="57" t="s">
        <v>1340</v>
      </c>
    </row>
    <row r="65" spans="1:13">
      <c r="A65" s="95" t="s">
        <v>1341</v>
      </c>
      <c r="B65" s="47">
        <v>1</v>
      </c>
      <c r="C65" s="55">
        <v>1</v>
      </c>
      <c r="D65" s="59" t="s">
        <v>161</v>
      </c>
      <c r="E65" s="53" t="s">
        <v>1336</v>
      </c>
      <c r="F65" s="35" t="s">
        <v>1342</v>
      </c>
      <c r="G65" s="133" t="s">
        <v>1343</v>
      </c>
      <c r="H65" s="42" t="s">
        <v>1344</v>
      </c>
      <c r="I65" s="51" t="s">
        <v>19</v>
      </c>
      <c r="J65" s="65"/>
      <c r="K65" s="51" t="s">
        <v>20</v>
      </c>
      <c r="L65" s="70"/>
      <c r="M65" s="57" t="s">
        <v>1340</v>
      </c>
    </row>
    <row r="66" spans="1:13">
      <c r="A66" s="95" t="s">
        <v>1345</v>
      </c>
      <c r="B66" s="47"/>
      <c r="C66" s="55">
        <v>3</v>
      </c>
      <c r="D66" s="57" t="s">
        <v>255</v>
      </c>
      <c r="E66" s="53" t="s">
        <v>836</v>
      </c>
      <c r="F66" s="35" t="s">
        <v>1346</v>
      </c>
      <c r="G66" s="133" t="s">
        <v>1347</v>
      </c>
      <c r="H66" s="42" t="s">
        <v>1348</v>
      </c>
      <c r="I66" s="51" t="s">
        <v>19</v>
      </c>
      <c r="J66" s="65"/>
      <c r="K66" s="51" t="s">
        <v>20</v>
      </c>
      <c r="L66" s="69"/>
      <c r="M66" s="57" t="s">
        <v>1340</v>
      </c>
    </row>
    <row r="67" spans="1:13">
      <c r="A67" s="95" t="s">
        <v>1349</v>
      </c>
      <c r="B67" s="47"/>
      <c r="C67" s="55">
        <v>3</v>
      </c>
      <c r="D67" s="57" t="s">
        <v>255</v>
      </c>
      <c r="E67" s="53" t="s">
        <v>836</v>
      </c>
      <c r="F67" s="35" t="s">
        <v>1350</v>
      </c>
      <c r="G67" s="133" t="s">
        <v>1351</v>
      </c>
      <c r="H67" s="42" t="s">
        <v>1352</v>
      </c>
      <c r="I67" s="51" t="s">
        <v>19</v>
      </c>
      <c r="J67" s="65"/>
      <c r="K67" s="51" t="s">
        <v>20</v>
      </c>
      <c r="L67" s="69"/>
      <c r="M67" s="57" t="s">
        <v>1340</v>
      </c>
    </row>
    <row r="68" spans="1:13">
      <c r="A68" s="95" t="s">
        <v>1353</v>
      </c>
      <c r="B68" s="47">
        <v>3</v>
      </c>
      <c r="C68" s="55">
        <v>3</v>
      </c>
      <c r="D68" s="57" t="s">
        <v>255</v>
      </c>
      <c r="E68" s="53" t="s">
        <v>836</v>
      </c>
      <c r="F68" s="33" t="s">
        <v>1354</v>
      </c>
      <c r="G68" s="137" t="s">
        <v>1355</v>
      </c>
      <c r="H68" s="42" t="s">
        <v>18</v>
      </c>
      <c r="I68" s="51" t="s">
        <v>19</v>
      </c>
      <c r="J68" s="65"/>
      <c r="K68" s="51" t="s">
        <v>20</v>
      </c>
      <c r="L68" s="69"/>
      <c r="M68" s="51"/>
    </row>
    <row r="69" spans="1:13">
      <c r="A69" s="95" t="s">
        <v>1356</v>
      </c>
      <c r="B69" s="47"/>
      <c r="C69" s="55">
        <v>3</v>
      </c>
      <c r="D69" s="57" t="s">
        <v>255</v>
      </c>
      <c r="E69" s="53" t="s">
        <v>836</v>
      </c>
      <c r="F69" s="35" t="s">
        <v>1357</v>
      </c>
      <c r="G69" s="138" t="s">
        <v>1358</v>
      </c>
      <c r="H69" s="42" t="s">
        <v>1352</v>
      </c>
      <c r="I69" s="51" t="s">
        <v>19</v>
      </c>
      <c r="J69" s="65"/>
      <c r="K69" s="51" t="s">
        <v>20</v>
      </c>
      <c r="L69" s="69"/>
      <c r="M69" s="57" t="s">
        <v>1340</v>
      </c>
    </row>
    <row r="70" spans="1:13">
      <c r="A70" s="95" t="s">
        <v>1359</v>
      </c>
      <c r="B70" s="47"/>
      <c r="C70" s="55">
        <v>3</v>
      </c>
      <c r="D70" s="57" t="s">
        <v>255</v>
      </c>
      <c r="E70" s="53" t="s">
        <v>836</v>
      </c>
      <c r="F70" s="35" t="s">
        <v>1360</v>
      </c>
      <c r="G70" s="138" t="s">
        <v>1361</v>
      </c>
      <c r="H70" s="42" t="s">
        <v>1362</v>
      </c>
      <c r="I70" s="51" t="s">
        <v>19</v>
      </c>
      <c r="J70" s="65"/>
      <c r="K70" s="51" t="s">
        <v>20</v>
      </c>
      <c r="L70" s="69"/>
      <c r="M70" s="57" t="s">
        <v>1340</v>
      </c>
    </row>
    <row r="71" spans="1:13">
      <c r="A71" s="95" t="s">
        <v>1363</v>
      </c>
      <c r="B71" s="47"/>
      <c r="C71" s="55">
        <v>3</v>
      </c>
      <c r="D71" s="57" t="s">
        <v>255</v>
      </c>
      <c r="E71" s="53" t="s">
        <v>1311</v>
      </c>
      <c r="F71" s="35" t="s">
        <v>1364</v>
      </c>
      <c r="G71" s="138" t="s">
        <v>1365</v>
      </c>
      <c r="H71" s="42" t="s">
        <v>18</v>
      </c>
      <c r="I71" s="51" t="s">
        <v>19</v>
      </c>
      <c r="J71" s="65"/>
      <c r="K71" s="51" t="s">
        <v>20</v>
      </c>
      <c r="L71" s="69"/>
      <c r="M71" s="57" t="s">
        <v>1340</v>
      </c>
    </row>
    <row r="72" spans="1:13">
      <c r="A72" s="95" t="s">
        <v>1366</v>
      </c>
      <c r="B72" s="47">
        <v>3</v>
      </c>
      <c r="C72" s="55">
        <v>3</v>
      </c>
      <c r="D72" s="57" t="s">
        <v>255</v>
      </c>
      <c r="E72" s="53" t="s">
        <v>836</v>
      </c>
      <c r="F72" s="33" t="s">
        <v>1367</v>
      </c>
      <c r="G72" s="130" t="s">
        <v>1368</v>
      </c>
      <c r="H72" s="42" t="s">
        <v>1369</v>
      </c>
      <c r="I72" s="51" t="s">
        <v>19</v>
      </c>
      <c r="J72" s="65"/>
      <c r="K72" s="51" t="s">
        <v>20</v>
      </c>
      <c r="L72" s="69"/>
      <c r="M72" s="51"/>
    </row>
    <row r="73" spans="1:13">
      <c r="A73" s="95" t="s">
        <v>1370</v>
      </c>
      <c r="B73" s="47">
        <v>3</v>
      </c>
      <c r="C73" s="55">
        <v>3</v>
      </c>
      <c r="D73" s="57" t="s">
        <v>255</v>
      </c>
      <c r="E73" s="53" t="s">
        <v>836</v>
      </c>
      <c r="F73" s="33" t="s">
        <v>1371</v>
      </c>
      <c r="G73" s="130" t="s">
        <v>1372</v>
      </c>
      <c r="H73" s="42" t="s">
        <v>18</v>
      </c>
      <c r="I73" s="51" t="s">
        <v>19</v>
      </c>
      <c r="J73" s="65"/>
      <c r="K73" s="51" t="s">
        <v>20</v>
      </c>
      <c r="L73" s="69"/>
      <c r="M73" s="51"/>
    </row>
    <row r="74" spans="1:13">
      <c r="A74" s="95" t="s">
        <v>1373</v>
      </c>
      <c r="B74" s="47">
        <v>2</v>
      </c>
      <c r="C74" s="55">
        <v>2</v>
      </c>
      <c r="D74" s="57" t="s">
        <v>255</v>
      </c>
      <c r="E74" s="53" t="s">
        <v>1140</v>
      </c>
      <c r="F74" s="33" t="s">
        <v>1374</v>
      </c>
      <c r="G74" s="130" t="s">
        <v>1375</v>
      </c>
      <c r="H74" s="42" t="s">
        <v>1376</v>
      </c>
      <c r="I74" s="51" t="s">
        <v>19</v>
      </c>
      <c r="J74" s="65"/>
      <c r="K74" s="51" t="s">
        <v>20</v>
      </c>
      <c r="L74" s="69"/>
      <c r="M74" s="51"/>
    </row>
    <row r="75" spans="1:13">
      <c r="A75" s="95" t="s">
        <v>1377</v>
      </c>
      <c r="B75" s="47"/>
      <c r="C75" s="55">
        <v>3</v>
      </c>
      <c r="D75" s="57" t="s">
        <v>255</v>
      </c>
      <c r="E75" s="53" t="s">
        <v>1140</v>
      </c>
      <c r="F75" s="33" t="s">
        <v>1378</v>
      </c>
      <c r="G75" s="137" t="s">
        <v>1379</v>
      </c>
      <c r="H75" s="42" t="s">
        <v>1380</v>
      </c>
      <c r="I75" s="51" t="s">
        <v>19</v>
      </c>
      <c r="J75" s="65"/>
      <c r="K75" s="51" t="s">
        <v>20</v>
      </c>
      <c r="L75" s="69"/>
      <c r="M75" s="51"/>
    </row>
    <row r="76" spans="1:13">
      <c r="A76" s="95" t="s">
        <v>1381</v>
      </c>
      <c r="B76" s="47"/>
      <c r="C76" s="55">
        <v>3</v>
      </c>
      <c r="D76" s="57" t="s">
        <v>255</v>
      </c>
      <c r="E76" s="53" t="s">
        <v>1140</v>
      </c>
      <c r="F76" s="108" t="s">
        <v>1382</v>
      </c>
      <c r="G76" s="130" t="s">
        <v>1383</v>
      </c>
      <c r="H76" s="42" t="s">
        <v>18</v>
      </c>
      <c r="I76" s="51" t="s">
        <v>19</v>
      </c>
      <c r="J76" s="65"/>
      <c r="K76" s="51" t="s">
        <v>20</v>
      </c>
      <c r="L76" s="69"/>
      <c r="M76" s="51"/>
    </row>
    <row r="77" spans="1:13">
      <c r="A77" s="95" t="s">
        <v>1384</v>
      </c>
      <c r="B77" s="47"/>
      <c r="C77" s="55">
        <v>3</v>
      </c>
      <c r="D77" s="57" t="s">
        <v>255</v>
      </c>
      <c r="E77" s="53" t="s">
        <v>1268</v>
      </c>
      <c r="F77" s="108" t="s">
        <v>1385</v>
      </c>
      <c r="G77" s="130" t="s">
        <v>1386</v>
      </c>
      <c r="H77" s="42" t="s">
        <v>1387</v>
      </c>
      <c r="I77" s="51" t="s">
        <v>19</v>
      </c>
      <c r="J77" s="65"/>
      <c r="K77" s="51" t="s">
        <v>20</v>
      </c>
      <c r="L77" s="69"/>
      <c r="M77" s="51"/>
    </row>
    <row r="78" spans="1:13">
      <c r="A78" s="95" t="s">
        <v>1388</v>
      </c>
      <c r="B78" s="47"/>
      <c r="C78" s="55">
        <v>3</v>
      </c>
      <c r="D78" s="57" t="s">
        <v>255</v>
      </c>
      <c r="E78" s="53" t="s">
        <v>1311</v>
      </c>
      <c r="F78" s="35" t="s">
        <v>1389</v>
      </c>
      <c r="G78" s="133" t="s">
        <v>1390</v>
      </c>
      <c r="H78" s="42" t="s">
        <v>1391</v>
      </c>
      <c r="I78" s="51" t="s">
        <v>19</v>
      </c>
      <c r="J78" s="65"/>
      <c r="K78" s="51" t="s">
        <v>20</v>
      </c>
      <c r="L78" s="69"/>
      <c r="M78" s="57" t="s">
        <v>1340</v>
      </c>
    </row>
    <row r="79" spans="1:13">
      <c r="A79" s="95" t="s">
        <v>1392</v>
      </c>
      <c r="B79" s="47"/>
      <c r="C79" s="55">
        <v>3</v>
      </c>
      <c r="D79" s="57" t="s">
        <v>255</v>
      </c>
      <c r="E79" s="53" t="s">
        <v>1311</v>
      </c>
      <c r="F79" s="35" t="s">
        <v>1393</v>
      </c>
      <c r="G79" s="133" t="s">
        <v>1394</v>
      </c>
      <c r="H79" s="42" t="s">
        <v>1395</v>
      </c>
      <c r="I79" s="51" t="s">
        <v>19</v>
      </c>
      <c r="J79" s="65"/>
      <c r="K79" s="51" t="s">
        <v>20</v>
      </c>
      <c r="L79" s="69"/>
      <c r="M79" s="57" t="s">
        <v>1340</v>
      </c>
    </row>
    <row r="80" spans="1:13">
      <c r="A80" s="95" t="s">
        <v>1396</v>
      </c>
      <c r="B80" s="47"/>
      <c r="C80" s="55">
        <v>3</v>
      </c>
      <c r="D80" s="57" t="s">
        <v>255</v>
      </c>
      <c r="E80" s="53" t="s">
        <v>1311</v>
      </c>
      <c r="F80" s="35" t="s">
        <v>1397</v>
      </c>
      <c r="G80" s="136" t="s">
        <v>1398</v>
      </c>
      <c r="H80" s="42" t="s">
        <v>1399</v>
      </c>
      <c r="I80" s="51" t="s">
        <v>19</v>
      </c>
      <c r="J80" s="65"/>
      <c r="K80" s="51" t="s">
        <v>20</v>
      </c>
      <c r="L80" s="69"/>
      <c r="M80" s="57" t="s">
        <v>1340</v>
      </c>
    </row>
    <row r="81" spans="1:13">
      <c r="A81" s="95" t="s">
        <v>1400</v>
      </c>
      <c r="B81" s="48">
        <v>1</v>
      </c>
      <c r="C81" s="55">
        <v>1</v>
      </c>
      <c r="D81" s="59" t="s">
        <v>312</v>
      </c>
      <c r="E81" s="53" t="s">
        <v>836</v>
      </c>
      <c r="F81" s="33" t="s">
        <v>1401</v>
      </c>
      <c r="G81" s="130" t="s">
        <v>1402</v>
      </c>
      <c r="H81" s="42" t="s">
        <v>1403</v>
      </c>
      <c r="I81" s="51" t="s">
        <v>19</v>
      </c>
      <c r="J81" s="65"/>
      <c r="K81" s="51" t="s">
        <v>20</v>
      </c>
      <c r="L81" s="69"/>
      <c r="M81" s="51"/>
    </row>
    <row r="82" spans="1:13">
      <c r="A82" s="95" t="s">
        <v>1404</v>
      </c>
      <c r="B82" s="48">
        <v>2</v>
      </c>
      <c r="C82" s="55">
        <v>2</v>
      </c>
      <c r="D82" s="59" t="s">
        <v>312</v>
      </c>
      <c r="E82" s="53" t="s">
        <v>836</v>
      </c>
      <c r="F82" s="33" t="s">
        <v>1405</v>
      </c>
      <c r="G82" s="130" t="s">
        <v>1406</v>
      </c>
      <c r="H82" s="42" t="s">
        <v>1407</v>
      </c>
      <c r="I82" s="51" t="s">
        <v>19</v>
      </c>
      <c r="J82" s="65"/>
      <c r="K82" s="51" t="s">
        <v>20</v>
      </c>
      <c r="L82" s="69"/>
      <c r="M82" s="51"/>
    </row>
    <row r="83" spans="1:13">
      <c r="A83" s="95" t="s">
        <v>1408</v>
      </c>
      <c r="B83" s="48">
        <v>3</v>
      </c>
      <c r="C83" s="55">
        <v>3</v>
      </c>
      <c r="D83" s="59" t="s">
        <v>312</v>
      </c>
      <c r="E83" s="53" t="s">
        <v>836</v>
      </c>
      <c r="F83" s="33" t="s">
        <v>1409</v>
      </c>
      <c r="G83" s="130" t="s">
        <v>1410</v>
      </c>
      <c r="H83" s="42" t="s">
        <v>1411</v>
      </c>
      <c r="I83" s="51" t="s">
        <v>19</v>
      </c>
      <c r="J83" s="65"/>
      <c r="K83" s="51"/>
      <c r="L83" s="69"/>
      <c r="M83" s="51" t="s">
        <v>1412</v>
      </c>
    </row>
    <row r="84" spans="1:13">
      <c r="A84" s="95" t="s">
        <v>1413</v>
      </c>
      <c r="B84" s="48">
        <v>3</v>
      </c>
      <c r="C84" s="55">
        <v>3</v>
      </c>
      <c r="D84" s="59" t="s">
        <v>312</v>
      </c>
      <c r="E84" s="53" t="s">
        <v>836</v>
      </c>
      <c r="F84" s="33" t="s">
        <v>1414</v>
      </c>
      <c r="G84" s="131" t="s">
        <v>1415</v>
      </c>
      <c r="H84" s="42" t="s">
        <v>1416</v>
      </c>
      <c r="I84" s="51" t="s">
        <v>19</v>
      </c>
      <c r="J84" s="65"/>
      <c r="K84" s="51"/>
      <c r="L84" s="69"/>
      <c r="M84" s="51" t="s">
        <v>1412</v>
      </c>
    </row>
    <row r="85" spans="1:13">
      <c r="A85" s="95" t="s">
        <v>1417</v>
      </c>
      <c r="B85" s="48">
        <v>3</v>
      </c>
      <c r="C85" s="55">
        <v>3</v>
      </c>
      <c r="D85" s="59" t="s">
        <v>312</v>
      </c>
      <c r="E85" s="53" t="s">
        <v>836</v>
      </c>
      <c r="F85" s="33" t="s">
        <v>1418</v>
      </c>
      <c r="G85" s="131" t="s">
        <v>1419</v>
      </c>
      <c r="H85" s="42" t="s">
        <v>1416</v>
      </c>
      <c r="I85" s="51" t="s">
        <v>19</v>
      </c>
      <c r="J85" s="65"/>
      <c r="K85" s="51"/>
      <c r="L85" s="69"/>
      <c r="M85" s="51" t="s">
        <v>1412</v>
      </c>
    </row>
    <row r="86" spans="1:13">
      <c r="A86" s="95" t="s">
        <v>1420</v>
      </c>
      <c r="B86" s="48">
        <v>3</v>
      </c>
      <c r="C86" s="55">
        <v>3</v>
      </c>
      <c r="D86" s="59" t="s">
        <v>312</v>
      </c>
      <c r="E86" s="53" t="s">
        <v>836</v>
      </c>
      <c r="F86" s="33" t="s">
        <v>1421</v>
      </c>
      <c r="G86" s="131" t="s">
        <v>1422</v>
      </c>
      <c r="H86" s="42" t="s">
        <v>1416</v>
      </c>
      <c r="I86" s="51" t="s">
        <v>19</v>
      </c>
      <c r="J86" s="65"/>
      <c r="K86" s="51"/>
      <c r="L86" s="69"/>
      <c r="M86" s="51" t="s">
        <v>1412</v>
      </c>
    </row>
    <row r="87" spans="1:13">
      <c r="A87" s="95" t="s">
        <v>1423</v>
      </c>
      <c r="B87" s="48"/>
      <c r="C87" s="55">
        <v>2</v>
      </c>
      <c r="D87" s="59" t="s">
        <v>312</v>
      </c>
      <c r="E87" s="53" t="s">
        <v>836</v>
      </c>
      <c r="F87" s="33" t="s">
        <v>1424</v>
      </c>
      <c r="G87" s="130" t="s">
        <v>1425</v>
      </c>
      <c r="H87" s="42" t="s">
        <v>1426</v>
      </c>
      <c r="I87" s="51" t="s">
        <v>19</v>
      </c>
      <c r="J87" s="65"/>
      <c r="K87" s="51" t="s">
        <v>20</v>
      </c>
      <c r="L87" s="69"/>
      <c r="M87" s="51"/>
    </row>
    <row r="88" spans="1:13">
      <c r="A88" s="95" t="s">
        <v>1427</v>
      </c>
      <c r="B88" s="48"/>
      <c r="C88" s="55">
        <v>2</v>
      </c>
      <c r="D88" s="59" t="s">
        <v>312</v>
      </c>
      <c r="E88" s="53" t="s">
        <v>836</v>
      </c>
      <c r="F88" s="33" t="s">
        <v>1428</v>
      </c>
      <c r="G88" s="130" t="s">
        <v>1429</v>
      </c>
      <c r="H88" s="42" t="s">
        <v>1426</v>
      </c>
      <c r="I88" s="51" t="s">
        <v>19</v>
      </c>
      <c r="J88" s="65"/>
      <c r="K88" s="51" t="s">
        <v>20</v>
      </c>
      <c r="L88" s="69"/>
      <c r="M88" s="51"/>
    </row>
    <row r="89" spans="1:13">
      <c r="A89" s="95" t="s">
        <v>1430</v>
      </c>
      <c r="B89" s="48">
        <v>1</v>
      </c>
      <c r="C89" s="55">
        <v>1</v>
      </c>
      <c r="D89" s="59" t="s">
        <v>312</v>
      </c>
      <c r="E89" s="53" t="s">
        <v>836</v>
      </c>
      <c r="F89" s="33" t="s">
        <v>1431</v>
      </c>
      <c r="G89" s="130" t="s">
        <v>1432</v>
      </c>
      <c r="H89" s="42" t="s">
        <v>1433</v>
      </c>
      <c r="I89" s="51" t="s">
        <v>19</v>
      </c>
      <c r="J89" s="65"/>
      <c r="K89" s="51" t="s">
        <v>20</v>
      </c>
      <c r="L89" s="69"/>
      <c r="M89" s="51"/>
    </row>
    <row r="90" spans="1:13">
      <c r="A90" s="95" t="s">
        <v>1434</v>
      </c>
      <c r="B90" s="48"/>
      <c r="C90" s="55">
        <v>2</v>
      </c>
      <c r="D90" s="59" t="s">
        <v>312</v>
      </c>
      <c r="E90" s="53" t="s">
        <v>836</v>
      </c>
      <c r="F90" s="33" t="s">
        <v>1435</v>
      </c>
      <c r="G90" s="130" t="s">
        <v>1436</v>
      </c>
      <c r="H90" s="42" t="s">
        <v>1437</v>
      </c>
      <c r="I90" s="51" t="s">
        <v>19</v>
      </c>
      <c r="J90" s="65"/>
      <c r="K90" s="51" t="s">
        <v>20</v>
      </c>
      <c r="L90" s="69"/>
      <c r="M90" s="51"/>
    </row>
    <row r="91" spans="1:13">
      <c r="A91" s="95" t="s">
        <v>1438</v>
      </c>
      <c r="B91" s="48"/>
      <c r="C91" s="55">
        <v>3</v>
      </c>
      <c r="D91" s="59" t="s">
        <v>312</v>
      </c>
      <c r="E91" s="53" t="s">
        <v>836</v>
      </c>
      <c r="F91" s="33" t="s">
        <v>1439</v>
      </c>
      <c r="G91" s="130" t="s">
        <v>1440</v>
      </c>
      <c r="H91" s="42" t="s">
        <v>18</v>
      </c>
      <c r="I91" s="51" t="s">
        <v>19</v>
      </c>
      <c r="J91" s="65"/>
      <c r="K91" s="51" t="s">
        <v>20</v>
      </c>
      <c r="L91" s="69"/>
      <c r="M91" s="51"/>
    </row>
    <row r="92" spans="1:13">
      <c r="A92" s="95" t="s">
        <v>1441</v>
      </c>
      <c r="B92" s="48">
        <v>3</v>
      </c>
      <c r="C92" s="55">
        <v>3</v>
      </c>
      <c r="D92" s="59" t="s">
        <v>312</v>
      </c>
      <c r="E92" s="53" t="s">
        <v>836</v>
      </c>
      <c r="F92" s="33" t="s">
        <v>1442</v>
      </c>
      <c r="G92" s="130" t="s">
        <v>1443</v>
      </c>
      <c r="H92" s="42" t="s">
        <v>18</v>
      </c>
      <c r="I92" s="51" t="s">
        <v>19</v>
      </c>
      <c r="J92" s="65"/>
      <c r="K92" s="51" t="s">
        <v>20</v>
      </c>
      <c r="L92" s="69"/>
      <c r="M92" s="51"/>
    </row>
    <row r="93" spans="1:13">
      <c r="A93" s="95" t="s">
        <v>1444</v>
      </c>
      <c r="B93" s="48">
        <v>2</v>
      </c>
      <c r="C93" s="55">
        <v>2</v>
      </c>
      <c r="D93" s="59" t="s">
        <v>312</v>
      </c>
      <c r="E93" s="53" t="s">
        <v>193</v>
      </c>
      <c r="F93" s="35" t="s">
        <v>1445</v>
      </c>
      <c r="G93" s="133" t="s">
        <v>1446</v>
      </c>
      <c r="H93" s="42" t="s">
        <v>1447</v>
      </c>
      <c r="I93" s="51" t="s">
        <v>19</v>
      </c>
      <c r="J93" s="65"/>
      <c r="K93" s="51" t="s">
        <v>123</v>
      </c>
      <c r="L93" s="69"/>
      <c r="M93" s="57" t="s">
        <v>1340</v>
      </c>
    </row>
    <row r="94" spans="1:13">
      <c r="A94" s="95" t="s">
        <v>1448</v>
      </c>
      <c r="B94" s="48">
        <v>2</v>
      </c>
      <c r="C94" s="55">
        <v>2</v>
      </c>
      <c r="D94" s="59" t="s">
        <v>312</v>
      </c>
      <c r="E94" s="53" t="s">
        <v>193</v>
      </c>
      <c r="F94" s="35" t="s">
        <v>1449</v>
      </c>
      <c r="G94" s="133" t="s">
        <v>1450</v>
      </c>
      <c r="H94" s="42" t="s">
        <v>1451</v>
      </c>
      <c r="I94" s="51" t="s">
        <v>19</v>
      </c>
      <c r="J94" s="65"/>
      <c r="K94" s="51" t="s">
        <v>88</v>
      </c>
      <c r="L94" s="69"/>
      <c r="M94" s="57" t="s">
        <v>1340</v>
      </c>
    </row>
    <row r="95" spans="1:13">
      <c r="A95" s="95" t="s">
        <v>1452</v>
      </c>
      <c r="B95" s="48"/>
      <c r="C95" s="55">
        <v>2</v>
      </c>
      <c r="D95" s="59" t="s">
        <v>312</v>
      </c>
      <c r="E95" s="53" t="s">
        <v>193</v>
      </c>
      <c r="F95" s="35" t="s">
        <v>1453</v>
      </c>
      <c r="G95" s="133" t="s">
        <v>1454</v>
      </c>
      <c r="H95" s="42" t="s">
        <v>1455</v>
      </c>
      <c r="I95" s="51" t="s">
        <v>19</v>
      </c>
      <c r="J95" s="65"/>
      <c r="K95" s="51" t="s">
        <v>123</v>
      </c>
      <c r="L95" s="69"/>
      <c r="M95" s="57" t="s">
        <v>1340</v>
      </c>
    </row>
    <row r="96" spans="1:13">
      <c r="A96" s="95" t="s">
        <v>1456</v>
      </c>
      <c r="B96" s="48"/>
      <c r="C96" s="55">
        <v>2</v>
      </c>
      <c r="D96" s="59" t="s">
        <v>312</v>
      </c>
      <c r="E96" s="53" t="s">
        <v>193</v>
      </c>
      <c r="F96" s="35" t="s">
        <v>1457</v>
      </c>
      <c r="G96" s="133" t="s">
        <v>1458</v>
      </c>
      <c r="H96" s="42" t="s">
        <v>1459</v>
      </c>
      <c r="I96" s="51" t="s">
        <v>19</v>
      </c>
      <c r="J96" s="65"/>
      <c r="K96" s="51" t="s">
        <v>123</v>
      </c>
      <c r="L96" s="69"/>
      <c r="M96" s="57" t="s">
        <v>1340</v>
      </c>
    </row>
    <row r="97" spans="1:13">
      <c r="A97" s="95" t="s">
        <v>1460</v>
      </c>
      <c r="B97" s="48">
        <v>2</v>
      </c>
      <c r="C97" s="55">
        <v>2</v>
      </c>
      <c r="D97" s="59" t="s">
        <v>312</v>
      </c>
      <c r="E97" s="53" t="s">
        <v>1140</v>
      </c>
      <c r="F97" s="35" t="s">
        <v>1461</v>
      </c>
      <c r="G97" s="132" t="s">
        <v>1462</v>
      </c>
      <c r="H97" s="42" t="s">
        <v>1463</v>
      </c>
      <c r="I97" s="51" t="s">
        <v>19</v>
      </c>
      <c r="J97" s="65"/>
      <c r="K97" s="51" t="s">
        <v>20</v>
      </c>
      <c r="L97" s="69"/>
      <c r="M97" s="57" t="s">
        <v>1340</v>
      </c>
    </row>
    <row r="98" spans="1:13">
      <c r="A98" s="95" t="s">
        <v>1464</v>
      </c>
      <c r="B98" s="48">
        <v>2</v>
      </c>
      <c r="C98" s="55">
        <v>2</v>
      </c>
      <c r="D98" s="59" t="s">
        <v>312</v>
      </c>
      <c r="E98" s="53" t="s">
        <v>1140</v>
      </c>
      <c r="F98" s="35" t="s">
        <v>1144</v>
      </c>
      <c r="G98" s="132" t="s">
        <v>1465</v>
      </c>
      <c r="H98" s="42" t="s">
        <v>1466</v>
      </c>
      <c r="I98" s="51" t="s">
        <v>19</v>
      </c>
      <c r="J98" s="65"/>
      <c r="K98" s="51" t="s">
        <v>20</v>
      </c>
      <c r="L98" s="69"/>
      <c r="M98" s="57" t="s">
        <v>1340</v>
      </c>
    </row>
    <row r="99" spans="1:13">
      <c r="A99" s="95" t="s">
        <v>1467</v>
      </c>
      <c r="B99" s="48">
        <v>2</v>
      </c>
      <c r="C99" s="55">
        <v>3</v>
      </c>
      <c r="D99" s="59" t="s">
        <v>312</v>
      </c>
      <c r="E99" s="53" t="s">
        <v>1140</v>
      </c>
      <c r="F99" s="35" t="s">
        <v>1468</v>
      </c>
      <c r="G99" s="132" t="s">
        <v>1469</v>
      </c>
      <c r="H99" s="42" t="s">
        <v>323</v>
      </c>
      <c r="I99" s="51" t="s">
        <v>19</v>
      </c>
      <c r="J99" s="65"/>
      <c r="K99" s="51" t="s">
        <v>20</v>
      </c>
      <c r="L99" s="69"/>
      <c r="M99" s="57" t="s">
        <v>1340</v>
      </c>
    </row>
    <row r="100" spans="1:13">
      <c r="A100" s="95" t="s">
        <v>1470</v>
      </c>
      <c r="B100" s="48">
        <v>2</v>
      </c>
      <c r="C100" s="55">
        <v>2</v>
      </c>
      <c r="D100" s="59" t="s">
        <v>312</v>
      </c>
      <c r="E100" s="53" t="s">
        <v>1140</v>
      </c>
      <c r="F100" s="35" t="s">
        <v>1471</v>
      </c>
      <c r="G100" s="132" t="s">
        <v>1472</v>
      </c>
      <c r="H100" s="42" t="s">
        <v>1463</v>
      </c>
      <c r="I100" s="51" t="s">
        <v>19</v>
      </c>
      <c r="J100" s="65"/>
      <c r="K100" s="51" t="s">
        <v>20</v>
      </c>
      <c r="L100" s="69"/>
      <c r="M100" s="57" t="s">
        <v>1340</v>
      </c>
    </row>
    <row r="101" spans="1:13">
      <c r="A101" s="95" t="s">
        <v>1473</v>
      </c>
      <c r="B101" s="48">
        <v>2</v>
      </c>
      <c r="C101" s="55">
        <v>2</v>
      </c>
      <c r="D101" s="59" t="s">
        <v>312</v>
      </c>
      <c r="E101" s="53" t="s">
        <v>1140</v>
      </c>
      <c r="F101" s="35" t="s">
        <v>1474</v>
      </c>
      <c r="G101" s="132" t="s">
        <v>1475</v>
      </c>
      <c r="H101" s="42" t="s">
        <v>1476</v>
      </c>
      <c r="I101" s="51" t="s">
        <v>19</v>
      </c>
      <c r="J101" s="65"/>
      <c r="K101" s="51" t="s">
        <v>20</v>
      </c>
      <c r="L101" s="69"/>
      <c r="M101" s="57" t="s">
        <v>1340</v>
      </c>
    </row>
    <row r="102" spans="1:13">
      <c r="A102" s="95" t="s">
        <v>1477</v>
      </c>
      <c r="B102" s="48">
        <v>2</v>
      </c>
      <c r="C102" s="55">
        <v>2</v>
      </c>
      <c r="D102" s="59" t="s">
        <v>312</v>
      </c>
      <c r="E102" s="53" t="s">
        <v>1140</v>
      </c>
      <c r="F102" s="35" t="s">
        <v>1478</v>
      </c>
      <c r="G102" s="132" t="s">
        <v>1479</v>
      </c>
      <c r="H102" s="42" t="s">
        <v>1480</v>
      </c>
      <c r="I102" s="51" t="s">
        <v>19</v>
      </c>
      <c r="J102" s="65"/>
      <c r="K102" s="51" t="s">
        <v>20</v>
      </c>
      <c r="L102" s="69"/>
      <c r="M102" s="57" t="s">
        <v>1340</v>
      </c>
    </row>
    <row r="103" spans="1:13">
      <c r="A103" s="95" t="s">
        <v>1481</v>
      </c>
      <c r="B103" s="48"/>
      <c r="C103" s="55">
        <v>3</v>
      </c>
      <c r="D103" s="59" t="s">
        <v>312</v>
      </c>
      <c r="E103" s="53" t="s">
        <v>213</v>
      </c>
      <c r="F103" s="35" t="s">
        <v>1482</v>
      </c>
      <c r="G103" s="136" t="s">
        <v>1483</v>
      </c>
      <c r="H103" s="42" t="s">
        <v>1463</v>
      </c>
      <c r="I103" s="51" t="s">
        <v>19</v>
      </c>
      <c r="J103" s="65"/>
      <c r="K103" s="51" t="s">
        <v>20</v>
      </c>
      <c r="L103" s="69"/>
      <c r="M103" s="57" t="s">
        <v>1340</v>
      </c>
    </row>
    <row r="104" spans="1:13">
      <c r="A104" s="95" t="s">
        <v>1484</v>
      </c>
      <c r="B104" s="48"/>
      <c r="C104" s="55">
        <v>3</v>
      </c>
      <c r="D104" s="59" t="s">
        <v>312</v>
      </c>
      <c r="E104" s="53" t="s">
        <v>213</v>
      </c>
      <c r="F104" s="35" t="s">
        <v>1485</v>
      </c>
      <c r="G104" s="136" t="s">
        <v>1486</v>
      </c>
      <c r="H104" s="42" t="s">
        <v>1463</v>
      </c>
      <c r="I104" s="51" t="s">
        <v>19</v>
      </c>
      <c r="J104" s="65"/>
      <c r="K104" s="51" t="s">
        <v>20</v>
      </c>
      <c r="L104" s="69"/>
      <c r="M104" s="57" t="s">
        <v>1340</v>
      </c>
    </row>
    <row r="105" spans="1:13">
      <c r="A105" s="95" t="s">
        <v>1487</v>
      </c>
      <c r="B105" s="48"/>
      <c r="C105" s="55">
        <v>3</v>
      </c>
      <c r="D105" s="59" t="s">
        <v>312</v>
      </c>
      <c r="E105" s="53" t="s">
        <v>213</v>
      </c>
      <c r="F105" s="35" t="s">
        <v>1488</v>
      </c>
      <c r="G105" s="132" t="s">
        <v>1489</v>
      </c>
      <c r="H105" s="42" t="s">
        <v>18</v>
      </c>
      <c r="I105" s="51" t="s">
        <v>19</v>
      </c>
      <c r="J105" s="65"/>
      <c r="K105" s="51" t="s">
        <v>20</v>
      </c>
      <c r="L105" s="69"/>
      <c r="M105" s="57" t="s">
        <v>1340</v>
      </c>
    </row>
    <row r="106" spans="1:13">
      <c r="A106" s="95" t="s">
        <v>1490</v>
      </c>
      <c r="B106" s="48"/>
      <c r="C106" s="55">
        <v>3</v>
      </c>
      <c r="D106" s="59" t="s">
        <v>312</v>
      </c>
      <c r="E106" s="53" t="s">
        <v>213</v>
      </c>
      <c r="F106" s="35" t="s">
        <v>1491</v>
      </c>
      <c r="G106" s="139" t="s">
        <v>1492</v>
      </c>
      <c r="H106" s="42" t="s">
        <v>18</v>
      </c>
      <c r="I106" s="51" t="s">
        <v>19</v>
      </c>
      <c r="J106" s="65"/>
      <c r="K106" s="51"/>
      <c r="L106" s="69"/>
      <c r="M106" s="57" t="s">
        <v>1340</v>
      </c>
    </row>
    <row r="107" spans="1:13">
      <c r="A107" s="95" t="s">
        <v>1493</v>
      </c>
      <c r="B107" s="48"/>
      <c r="C107" s="55">
        <v>3</v>
      </c>
      <c r="D107" s="59" t="s">
        <v>312</v>
      </c>
      <c r="E107" s="53" t="s">
        <v>213</v>
      </c>
      <c r="F107" s="35" t="s">
        <v>1494</v>
      </c>
      <c r="G107" s="132" t="s">
        <v>1495</v>
      </c>
      <c r="H107" s="42" t="s">
        <v>18</v>
      </c>
      <c r="I107" s="51" t="s">
        <v>19</v>
      </c>
      <c r="J107" s="65"/>
      <c r="K107" s="51" t="s">
        <v>20</v>
      </c>
      <c r="L107" s="69"/>
      <c r="M107" s="57" t="s">
        <v>1340</v>
      </c>
    </row>
    <row r="108" spans="1:13">
      <c r="A108" s="95" t="s">
        <v>1496</v>
      </c>
      <c r="B108" s="48"/>
      <c r="C108" s="55">
        <v>3</v>
      </c>
      <c r="D108" s="59" t="s">
        <v>312</v>
      </c>
      <c r="E108" s="53" t="s">
        <v>213</v>
      </c>
      <c r="F108" s="35" t="s">
        <v>1497</v>
      </c>
      <c r="G108" s="132" t="s">
        <v>1498</v>
      </c>
      <c r="H108" s="42" t="s">
        <v>18</v>
      </c>
      <c r="I108" s="51" t="s">
        <v>19</v>
      </c>
      <c r="J108" s="65"/>
      <c r="K108" s="51" t="s">
        <v>20</v>
      </c>
      <c r="L108" s="69"/>
      <c r="M108" s="57" t="s">
        <v>1340</v>
      </c>
    </row>
    <row r="109" spans="1:13">
      <c r="A109" s="95" t="s">
        <v>1499</v>
      </c>
      <c r="B109" s="48"/>
      <c r="C109" s="55">
        <v>3</v>
      </c>
      <c r="D109" s="59" t="s">
        <v>312</v>
      </c>
      <c r="E109" s="53" t="s">
        <v>351</v>
      </c>
      <c r="F109" s="35" t="s">
        <v>1500</v>
      </c>
      <c r="G109" s="136" t="s">
        <v>1501</v>
      </c>
      <c r="H109" s="42" t="s">
        <v>18</v>
      </c>
      <c r="I109" s="51" t="s">
        <v>19</v>
      </c>
      <c r="J109" s="65"/>
      <c r="K109" s="51" t="s">
        <v>20</v>
      </c>
      <c r="L109" s="69"/>
      <c r="M109" s="57" t="s">
        <v>1340</v>
      </c>
    </row>
    <row r="110" spans="1:13">
      <c r="A110" s="95" t="s">
        <v>1502</v>
      </c>
      <c r="B110" s="48"/>
      <c r="C110" s="55">
        <v>3</v>
      </c>
      <c r="D110" s="59" t="s">
        <v>312</v>
      </c>
      <c r="E110" s="53" t="s">
        <v>351</v>
      </c>
      <c r="F110" s="35" t="s">
        <v>1503</v>
      </c>
      <c r="G110" s="133" t="s">
        <v>1504</v>
      </c>
      <c r="H110" s="42" t="s">
        <v>18</v>
      </c>
      <c r="I110" s="51" t="s">
        <v>19</v>
      </c>
      <c r="J110" s="65"/>
      <c r="K110" s="51" t="s">
        <v>20</v>
      </c>
      <c r="L110" s="69"/>
      <c r="M110" s="57" t="s">
        <v>1340</v>
      </c>
    </row>
    <row r="111" spans="1:13">
      <c r="A111" s="95" t="s">
        <v>1505</v>
      </c>
      <c r="B111" s="48">
        <v>2</v>
      </c>
      <c r="C111" s="55">
        <v>2</v>
      </c>
      <c r="D111" s="59" t="s">
        <v>312</v>
      </c>
      <c r="E111" s="53" t="s">
        <v>351</v>
      </c>
      <c r="F111" s="35" t="s">
        <v>1506</v>
      </c>
      <c r="G111" s="133" t="s">
        <v>1507</v>
      </c>
      <c r="H111" s="42" t="s">
        <v>18</v>
      </c>
      <c r="I111" s="51" t="s">
        <v>19</v>
      </c>
      <c r="J111" s="65"/>
      <c r="K111" s="51" t="s">
        <v>123</v>
      </c>
      <c r="L111" s="69"/>
      <c r="M111" s="57" t="s">
        <v>1340</v>
      </c>
    </row>
    <row r="112" spans="1:13">
      <c r="A112" s="95" t="s">
        <v>1508</v>
      </c>
      <c r="B112" s="48"/>
      <c r="C112" s="55">
        <v>3</v>
      </c>
      <c r="D112" s="59" t="s">
        <v>312</v>
      </c>
      <c r="E112" s="53" t="s">
        <v>351</v>
      </c>
      <c r="F112" s="33" t="s">
        <v>1509</v>
      </c>
      <c r="G112" s="131" t="s">
        <v>1510</v>
      </c>
      <c r="H112" s="42" t="s">
        <v>18</v>
      </c>
      <c r="I112" s="51" t="s">
        <v>19</v>
      </c>
      <c r="J112" s="65"/>
      <c r="K112" s="51" t="s">
        <v>123</v>
      </c>
      <c r="L112" s="69"/>
      <c r="M112" s="51"/>
    </row>
    <row r="113" spans="1:13">
      <c r="A113" s="95" t="s">
        <v>1511</v>
      </c>
      <c r="B113" s="48"/>
      <c r="C113" s="55">
        <v>2</v>
      </c>
      <c r="D113" s="59" t="s">
        <v>312</v>
      </c>
      <c r="E113" s="53" t="s">
        <v>351</v>
      </c>
      <c r="F113" s="33" t="s">
        <v>1512</v>
      </c>
      <c r="G113" s="130" t="s">
        <v>1513</v>
      </c>
      <c r="H113" s="42" t="s">
        <v>18</v>
      </c>
      <c r="I113" s="51" t="s">
        <v>19</v>
      </c>
      <c r="J113" s="65"/>
      <c r="K113" s="51" t="s">
        <v>20</v>
      </c>
      <c r="L113" s="69"/>
      <c r="M113" s="51"/>
    </row>
    <row r="114" spans="1:13">
      <c r="A114" s="95" t="s">
        <v>1514</v>
      </c>
      <c r="B114" s="48"/>
      <c r="C114" s="55">
        <v>2</v>
      </c>
      <c r="D114" s="59" t="s">
        <v>312</v>
      </c>
      <c r="E114" s="53" t="s">
        <v>351</v>
      </c>
      <c r="F114" s="33" t="s">
        <v>1515</v>
      </c>
      <c r="G114" s="130" t="s">
        <v>1516</v>
      </c>
      <c r="H114" s="42" t="s">
        <v>1517</v>
      </c>
      <c r="I114" s="51" t="s">
        <v>19</v>
      </c>
      <c r="J114" s="65"/>
      <c r="K114" s="51" t="s">
        <v>20</v>
      </c>
      <c r="L114" s="69"/>
      <c r="M114" s="51"/>
    </row>
    <row r="115" spans="1:13">
      <c r="A115" s="95" t="s">
        <v>1518</v>
      </c>
      <c r="B115" s="48">
        <v>2</v>
      </c>
      <c r="C115" s="55">
        <v>2</v>
      </c>
      <c r="D115" s="59" t="s">
        <v>312</v>
      </c>
      <c r="E115" s="53" t="s">
        <v>1227</v>
      </c>
      <c r="F115" s="35" t="s">
        <v>1519</v>
      </c>
      <c r="G115" s="132" t="s">
        <v>1520</v>
      </c>
      <c r="H115" s="42" t="s">
        <v>1437</v>
      </c>
      <c r="I115" s="51" t="s">
        <v>19</v>
      </c>
      <c r="J115" s="65"/>
      <c r="K115" s="51" t="s">
        <v>20</v>
      </c>
      <c r="L115" s="69"/>
      <c r="M115" s="51" t="s">
        <v>1521</v>
      </c>
    </row>
    <row r="116" spans="1:13">
      <c r="A116" s="95" t="s">
        <v>1522</v>
      </c>
      <c r="B116" s="48">
        <v>2</v>
      </c>
      <c r="C116" s="55">
        <v>2</v>
      </c>
      <c r="D116" s="59" t="s">
        <v>312</v>
      </c>
      <c r="E116" s="53" t="s">
        <v>1227</v>
      </c>
      <c r="F116" s="35" t="s">
        <v>1523</v>
      </c>
      <c r="G116" s="132" t="s">
        <v>1524</v>
      </c>
      <c r="H116" s="42" t="s">
        <v>1525</v>
      </c>
      <c r="I116" s="51" t="s">
        <v>19</v>
      </c>
      <c r="J116" s="65"/>
      <c r="K116" s="51" t="s">
        <v>20</v>
      </c>
      <c r="L116" s="69"/>
      <c r="M116" s="51" t="s">
        <v>1521</v>
      </c>
    </row>
    <row r="117" spans="1:13">
      <c r="A117" s="95" t="s">
        <v>1526</v>
      </c>
      <c r="B117" s="48">
        <v>2</v>
      </c>
      <c r="C117" s="55">
        <v>2</v>
      </c>
      <c r="D117" s="59" t="s">
        <v>312</v>
      </c>
      <c r="E117" s="53" t="s">
        <v>1227</v>
      </c>
      <c r="F117" s="34" t="s">
        <v>1527</v>
      </c>
      <c r="G117" s="137" t="s">
        <v>1528</v>
      </c>
      <c r="H117" s="42" t="s">
        <v>18</v>
      </c>
      <c r="I117" s="51" t="s">
        <v>19</v>
      </c>
      <c r="J117" s="65"/>
      <c r="K117" s="51" t="s">
        <v>20</v>
      </c>
      <c r="L117" s="69"/>
      <c r="M117" s="51" t="s">
        <v>1529</v>
      </c>
    </row>
    <row r="118" spans="1:13">
      <c r="A118" s="95" t="s">
        <v>1530</v>
      </c>
      <c r="B118" s="48">
        <v>2</v>
      </c>
      <c r="C118" s="55">
        <v>2</v>
      </c>
      <c r="D118" s="59" t="s">
        <v>312</v>
      </c>
      <c r="E118" s="53" t="s">
        <v>1227</v>
      </c>
      <c r="F118" s="34" t="s">
        <v>1531</v>
      </c>
      <c r="G118" s="130" t="s">
        <v>1532</v>
      </c>
      <c r="H118" s="42" t="s">
        <v>1525</v>
      </c>
      <c r="I118" s="51" t="s">
        <v>19</v>
      </c>
      <c r="J118" s="65"/>
      <c r="K118" s="51" t="s">
        <v>20</v>
      </c>
      <c r="L118" s="69"/>
      <c r="M118" s="51" t="s">
        <v>1529</v>
      </c>
    </row>
    <row r="119" spans="1:13">
      <c r="A119" s="95" t="s">
        <v>1533</v>
      </c>
      <c r="B119" s="48">
        <v>2</v>
      </c>
      <c r="C119" s="55">
        <v>2</v>
      </c>
      <c r="D119" s="59" t="s">
        <v>312</v>
      </c>
      <c r="E119" s="53" t="s">
        <v>1227</v>
      </c>
      <c r="F119" s="34" t="s">
        <v>1534</v>
      </c>
      <c r="G119" s="130" t="s">
        <v>1535</v>
      </c>
      <c r="H119" s="42" t="s">
        <v>18</v>
      </c>
      <c r="I119" s="51" t="s">
        <v>19</v>
      </c>
      <c r="J119" s="65"/>
      <c r="K119" s="51" t="s">
        <v>20</v>
      </c>
      <c r="L119" s="69"/>
      <c r="M119" s="51" t="s">
        <v>1529</v>
      </c>
    </row>
    <row r="120" spans="1:13">
      <c r="A120" s="95" t="s">
        <v>1536</v>
      </c>
      <c r="B120" s="48">
        <v>3</v>
      </c>
      <c r="C120" s="55">
        <v>3</v>
      </c>
      <c r="D120" s="59" t="s">
        <v>312</v>
      </c>
      <c r="E120" s="53" t="s">
        <v>85</v>
      </c>
      <c r="F120" s="33" t="s">
        <v>1537</v>
      </c>
      <c r="G120" s="130" t="s">
        <v>1538</v>
      </c>
      <c r="H120" s="42" t="s">
        <v>1539</v>
      </c>
      <c r="I120" s="51" t="s">
        <v>19</v>
      </c>
      <c r="J120" s="65"/>
      <c r="K120" s="51" t="s">
        <v>20</v>
      </c>
      <c r="L120" s="69"/>
      <c r="M120" s="51"/>
    </row>
    <row r="121" spans="1:13">
      <c r="A121" s="95" t="s">
        <v>1540</v>
      </c>
      <c r="B121" s="48">
        <v>3</v>
      </c>
      <c r="C121" s="55">
        <v>3</v>
      </c>
      <c r="D121" s="59" t="s">
        <v>312</v>
      </c>
      <c r="E121" s="53" t="s">
        <v>85</v>
      </c>
      <c r="F121" s="33" t="s">
        <v>1541</v>
      </c>
      <c r="G121" s="130" t="s">
        <v>1542</v>
      </c>
      <c r="H121" s="42" t="s">
        <v>1543</v>
      </c>
      <c r="I121" s="51" t="s">
        <v>19</v>
      </c>
      <c r="J121" s="65"/>
      <c r="K121" s="51" t="s">
        <v>20</v>
      </c>
      <c r="L121" s="69"/>
      <c r="M121" s="51"/>
    </row>
    <row r="122" spans="1:13">
      <c r="A122" s="95" t="s">
        <v>1544</v>
      </c>
      <c r="B122" s="48"/>
      <c r="C122" s="55">
        <v>3</v>
      </c>
      <c r="D122" s="59" t="s">
        <v>312</v>
      </c>
      <c r="E122" s="53" t="s">
        <v>85</v>
      </c>
      <c r="F122" s="35" t="s">
        <v>1545</v>
      </c>
      <c r="G122" s="132" t="s">
        <v>1546</v>
      </c>
      <c r="H122" s="42" t="s">
        <v>1547</v>
      </c>
      <c r="I122" s="51" t="s">
        <v>19</v>
      </c>
      <c r="J122" s="65"/>
      <c r="K122" s="51" t="s">
        <v>20</v>
      </c>
      <c r="L122" s="69"/>
      <c r="M122" s="51" t="s">
        <v>57</v>
      </c>
    </row>
    <row r="123" spans="1:13">
      <c r="A123" s="95" t="s">
        <v>1548</v>
      </c>
      <c r="B123" s="48"/>
      <c r="C123" s="55">
        <v>3</v>
      </c>
      <c r="D123" s="59" t="s">
        <v>312</v>
      </c>
      <c r="E123" s="53" t="s">
        <v>85</v>
      </c>
      <c r="F123" s="35" t="s">
        <v>1549</v>
      </c>
      <c r="G123" s="136" t="s">
        <v>1550</v>
      </c>
      <c r="H123" s="42" t="s">
        <v>18</v>
      </c>
      <c r="I123" s="51" t="s">
        <v>19</v>
      </c>
      <c r="J123" s="65"/>
      <c r="K123" s="51" t="s">
        <v>88</v>
      </c>
      <c r="L123" s="69"/>
      <c r="M123" s="51" t="s">
        <v>57</v>
      </c>
    </row>
    <row r="124" spans="1:13">
      <c r="A124" s="95" t="s">
        <v>1551</v>
      </c>
      <c r="B124" s="48"/>
      <c r="C124" s="55">
        <v>3</v>
      </c>
      <c r="D124" s="59" t="s">
        <v>312</v>
      </c>
      <c r="E124" s="53" t="s">
        <v>85</v>
      </c>
      <c r="F124" s="35" t="s">
        <v>1552</v>
      </c>
      <c r="G124" s="132" t="s">
        <v>1553</v>
      </c>
      <c r="H124" s="42" t="s">
        <v>18</v>
      </c>
      <c r="I124" s="51" t="s">
        <v>19</v>
      </c>
      <c r="J124" s="65"/>
      <c r="K124" s="51" t="s">
        <v>20</v>
      </c>
      <c r="L124" s="69"/>
      <c r="M124" s="51" t="s">
        <v>57</v>
      </c>
    </row>
    <row r="125" spans="1:13">
      <c r="A125" s="95" t="s">
        <v>1554</v>
      </c>
      <c r="B125" s="48"/>
      <c r="C125" s="55">
        <v>3</v>
      </c>
      <c r="D125" s="59" t="s">
        <v>312</v>
      </c>
      <c r="E125" s="53" t="s">
        <v>85</v>
      </c>
      <c r="F125" s="35" t="s">
        <v>1555</v>
      </c>
      <c r="G125" s="136" t="s">
        <v>1556</v>
      </c>
      <c r="H125" s="42" t="s">
        <v>18</v>
      </c>
      <c r="I125" s="51" t="s">
        <v>19</v>
      </c>
      <c r="J125" s="65"/>
      <c r="K125" s="51" t="s">
        <v>20</v>
      </c>
      <c r="L125" s="69"/>
      <c r="M125" s="51" t="s">
        <v>57</v>
      </c>
    </row>
    <row r="126" spans="1:13">
      <c r="A126" s="95" t="s">
        <v>1557</v>
      </c>
      <c r="B126" s="48"/>
      <c r="C126" s="55">
        <v>3</v>
      </c>
      <c r="D126" s="59" t="s">
        <v>312</v>
      </c>
      <c r="E126" s="53" t="s">
        <v>85</v>
      </c>
      <c r="F126" s="35" t="s">
        <v>1558</v>
      </c>
      <c r="G126" s="136" t="s">
        <v>1559</v>
      </c>
      <c r="H126" s="42" t="s">
        <v>1560</v>
      </c>
      <c r="I126" s="51" t="s">
        <v>19</v>
      </c>
      <c r="J126" s="65"/>
      <c r="K126" s="51" t="s">
        <v>20</v>
      </c>
      <c r="L126" s="69"/>
      <c r="M126" s="51" t="s">
        <v>57</v>
      </c>
    </row>
    <row r="127" spans="1:13">
      <c r="A127" s="95" t="s">
        <v>1561</v>
      </c>
      <c r="B127" s="48"/>
      <c r="C127" s="55">
        <v>3</v>
      </c>
      <c r="D127" s="59" t="s">
        <v>312</v>
      </c>
      <c r="E127" s="53" t="s">
        <v>85</v>
      </c>
      <c r="F127" s="33" t="s">
        <v>1562</v>
      </c>
      <c r="G127" s="130" t="s">
        <v>1563</v>
      </c>
      <c r="H127" s="42" t="s">
        <v>18</v>
      </c>
      <c r="I127" s="51" t="s">
        <v>19</v>
      </c>
      <c r="J127" s="65"/>
      <c r="K127" s="51" t="s">
        <v>88</v>
      </c>
      <c r="L127" s="69"/>
      <c r="M127" s="51"/>
    </row>
    <row r="128" spans="1:13">
      <c r="A128" s="95" t="s">
        <v>1564</v>
      </c>
      <c r="B128" s="48"/>
      <c r="C128" s="55">
        <v>3</v>
      </c>
      <c r="D128" s="59" t="s">
        <v>312</v>
      </c>
      <c r="E128" s="53" t="s">
        <v>85</v>
      </c>
      <c r="F128" s="33" t="s">
        <v>1565</v>
      </c>
      <c r="G128" s="130" t="s">
        <v>1566</v>
      </c>
      <c r="H128" s="42" t="s">
        <v>1567</v>
      </c>
      <c r="I128" s="51" t="s">
        <v>19</v>
      </c>
      <c r="J128" s="65"/>
      <c r="K128" s="51" t="s">
        <v>88</v>
      </c>
      <c r="L128" s="69"/>
      <c r="M128" s="51"/>
    </row>
    <row r="129" spans="1:13">
      <c r="A129" s="95" t="s">
        <v>1568</v>
      </c>
      <c r="B129" s="48"/>
      <c r="C129" s="55">
        <v>3</v>
      </c>
      <c r="D129" s="59" t="s">
        <v>312</v>
      </c>
      <c r="E129" s="53" t="s">
        <v>85</v>
      </c>
      <c r="F129" s="35" t="s">
        <v>1569</v>
      </c>
      <c r="G129" s="140" t="s">
        <v>1570</v>
      </c>
      <c r="H129" s="42" t="s">
        <v>1571</v>
      </c>
      <c r="I129" s="51" t="s">
        <v>19</v>
      </c>
      <c r="J129" s="65"/>
      <c r="K129" s="51" t="s">
        <v>88</v>
      </c>
      <c r="L129" s="69"/>
      <c r="M129" s="51" t="s">
        <v>57</v>
      </c>
    </row>
    <row r="130" spans="1:13">
      <c r="A130" s="95" t="s">
        <v>1572</v>
      </c>
      <c r="B130" s="48"/>
      <c r="C130" s="55">
        <v>3</v>
      </c>
      <c r="D130" s="59" t="s">
        <v>312</v>
      </c>
      <c r="E130" s="53" t="s">
        <v>1268</v>
      </c>
      <c r="F130" s="35" t="s">
        <v>1573</v>
      </c>
      <c r="G130" s="132" t="s">
        <v>1574</v>
      </c>
      <c r="H130" s="42" t="s">
        <v>1575</v>
      </c>
      <c r="I130" s="51" t="s">
        <v>19</v>
      </c>
      <c r="J130" s="65"/>
      <c r="K130" s="51" t="s">
        <v>20</v>
      </c>
      <c r="L130" s="69"/>
      <c r="M130" s="51" t="s">
        <v>57</v>
      </c>
    </row>
    <row r="131" spans="1:13">
      <c r="A131" s="95" t="s">
        <v>1576</v>
      </c>
      <c r="B131" s="48">
        <v>3</v>
      </c>
      <c r="C131" s="55">
        <v>2</v>
      </c>
      <c r="D131" s="59" t="s">
        <v>312</v>
      </c>
      <c r="E131" s="53" t="s">
        <v>1268</v>
      </c>
      <c r="F131" s="33" t="s">
        <v>1577</v>
      </c>
      <c r="G131" s="130" t="s">
        <v>1578</v>
      </c>
      <c r="H131" s="42" t="s">
        <v>1579</v>
      </c>
      <c r="I131" s="51" t="s">
        <v>19</v>
      </c>
      <c r="J131" s="65"/>
      <c r="K131" s="51" t="s">
        <v>20</v>
      </c>
      <c r="L131" s="69"/>
      <c r="M131" s="51"/>
    </row>
    <row r="132" spans="1:13">
      <c r="A132" s="95" t="s">
        <v>1580</v>
      </c>
      <c r="B132" s="48"/>
      <c r="C132" s="55">
        <v>3</v>
      </c>
      <c r="D132" s="59" t="s">
        <v>312</v>
      </c>
      <c r="E132" s="53" t="s">
        <v>1268</v>
      </c>
      <c r="F132" s="33" t="s">
        <v>1581</v>
      </c>
      <c r="G132" s="130" t="s">
        <v>1582</v>
      </c>
      <c r="H132" s="42" t="s">
        <v>1583</v>
      </c>
      <c r="I132" s="51" t="s">
        <v>19</v>
      </c>
      <c r="J132" s="65"/>
      <c r="K132" s="51" t="s">
        <v>20</v>
      </c>
      <c r="L132" s="69"/>
      <c r="M132" s="51"/>
    </row>
    <row r="133" spans="1:13">
      <c r="A133" s="95" t="s">
        <v>1584</v>
      </c>
      <c r="B133" s="48"/>
      <c r="C133" s="55">
        <v>3</v>
      </c>
      <c r="D133" s="59" t="s">
        <v>312</v>
      </c>
      <c r="E133" s="53" t="s">
        <v>1268</v>
      </c>
      <c r="F133" s="33" t="s">
        <v>1585</v>
      </c>
      <c r="G133" s="137" t="s">
        <v>1586</v>
      </c>
      <c r="H133" s="42" t="s">
        <v>18</v>
      </c>
      <c r="I133" s="51" t="s">
        <v>19</v>
      </c>
      <c r="J133" s="65"/>
      <c r="K133" s="51" t="s">
        <v>20</v>
      </c>
      <c r="L133" s="69"/>
      <c r="M133" s="51"/>
    </row>
    <row r="134" spans="1:13">
      <c r="A134" s="95" t="s">
        <v>1587</v>
      </c>
      <c r="B134" s="48"/>
      <c r="C134" s="55">
        <v>3</v>
      </c>
      <c r="D134" s="59" t="s">
        <v>312</v>
      </c>
      <c r="E134" s="53" t="s">
        <v>1298</v>
      </c>
      <c r="F134" s="35" t="s">
        <v>1588</v>
      </c>
      <c r="G134" s="133" t="s">
        <v>1589</v>
      </c>
      <c r="H134" s="42" t="s">
        <v>1590</v>
      </c>
      <c r="I134" s="51" t="s">
        <v>19</v>
      </c>
      <c r="J134" s="65"/>
      <c r="K134" s="51" t="s">
        <v>20</v>
      </c>
      <c r="L134" s="69"/>
      <c r="M134" s="51" t="s">
        <v>57</v>
      </c>
    </row>
    <row r="135" spans="1:13">
      <c r="A135" s="95" t="s">
        <v>1591</v>
      </c>
      <c r="B135" s="48"/>
      <c r="C135" s="55">
        <v>3</v>
      </c>
      <c r="D135" s="59" t="s">
        <v>312</v>
      </c>
      <c r="E135" s="53" t="s">
        <v>1298</v>
      </c>
      <c r="F135" s="35" t="s">
        <v>1592</v>
      </c>
      <c r="G135" s="133" t="s">
        <v>1593</v>
      </c>
      <c r="H135" s="42" t="s">
        <v>1594</v>
      </c>
      <c r="I135" s="51" t="s">
        <v>19</v>
      </c>
      <c r="J135" s="65"/>
      <c r="K135" s="51" t="s">
        <v>20</v>
      </c>
      <c r="L135" s="69"/>
      <c r="M135" s="51" t="s">
        <v>57</v>
      </c>
    </row>
    <row r="136" spans="1:13">
      <c r="A136" s="95" t="s">
        <v>1595</v>
      </c>
      <c r="B136" s="48">
        <v>2</v>
      </c>
      <c r="C136" s="55">
        <v>2</v>
      </c>
      <c r="D136" s="59" t="s">
        <v>312</v>
      </c>
      <c r="E136" s="53" t="s">
        <v>1596</v>
      </c>
      <c r="F136" s="33" t="s">
        <v>1597</v>
      </c>
      <c r="G136" s="130" t="s">
        <v>1598</v>
      </c>
      <c r="H136" s="42" t="s">
        <v>1599</v>
      </c>
      <c r="I136" s="51" t="s">
        <v>19</v>
      </c>
      <c r="J136" s="65"/>
      <c r="K136" s="51" t="s">
        <v>20</v>
      </c>
      <c r="L136" s="69"/>
      <c r="M136" s="51"/>
    </row>
    <row r="137" spans="1:13">
      <c r="A137" s="95" t="s">
        <v>1600</v>
      </c>
      <c r="B137" s="48"/>
      <c r="C137" s="55">
        <v>2</v>
      </c>
      <c r="D137" s="59" t="s">
        <v>312</v>
      </c>
      <c r="E137" s="53" t="s">
        <v>921</v>
      </c>
      <c r="F137" s="33" t="s">
        <v>1601</v>
      </c>
      <c r="G137" s="130" t="s">
        <v>1602</v>
      </c>
      <c r="H137" s="42" t="s">
        <v>1603</v>
      </c>
      <c r="I137" s="51" t="s">
        <v>19</v>
      </c>
      <c r="J137" s="65"/>
      <c r="K137" s="51" t="s">
        <v>20</v>
      </c>
      <c r="L137" s="69"/>
      <c r="M137" s="51"/>
    </row>
    <row r="138" spans="1:13">
      <c r="A138" s="95" t="s">
        <v>1604</v>
      </c>
      <c r="B138" s="48">
        <v>1</v>
      </c>
      <c r="C138" s="55">
        <v>1</v>
      </c>
      <c r="D138" s="59" t="s">
        <v>312</v>
      </c>
      <c r="E138" s="53" t="s">
        <v>1311</v>
      </c>
      <c r="F138" s="33" t="s">
        <v>1605</v>
      </c>
      <c r="G138" s="130" t="s">
        <v>1606</v>
      </c>
      <c r="H138" s="42" t="s">
        <v>1607</v>
      </c>
      <c r="I138" s="51" t="s">
        <v>19</v>
      </c>
      <c r="J138" s="65"/>
      <c r="K138" s="51" t="s">
        <v>20</v>
      </c>
      <c r="L138" s="69"/>
      <c r="M138" s="51"/>
    </row>
    <row r="139" spans="1:13">
      <c r="A139" s="95" t="s">
        <v>1608</v>
      </c>
      <c r="B139" s="48">
        <v>2</v>
      </c>
      <c r="C139" s="55">
        <v>2</v>
      </c>
      <c r="D139" s="59" t="s">
        <v>312</v>
      </c>
      <c r="E139" s="53" t="s">
        <v>1311</v>
      </c>
      <c r="F139" s="33" t="s">
        <v>1609</v>
      </c>
      <c r="G139" s="130" t="s">
        <v>1610</v>
      </c>
      <c r="H139" s="42" t="s">
        <v>18</v>
      </c>
      <c r="I139" s="51" t="s">
        <v>19</v>
      </c>
      <c r="J139" s="65"/>
      <c r="K139" s="51" t="s">
        <v>20</v>
      </c>
      <c r="L139" s="69"/>
      <c r="M139" s="51"/>
    </row>
    <row r="140" spans="1:13">
      <c r="A140" s="95" t="s">
        <v>1611</v>
      </c>
      <c r="B140" s="48">
        <v>2</v>
      </c>
      <c r="C140" s="76">
        <v>2</v>
      </c>
      <c r="D140" s="59" t="s">
        <v>312</v>
      </c>
      <c r="E140" s="53" t="s">
        <v>1311</v>
      </c>
      <c r="F140" s="33" t="s">
        <v>1612</v>
      </c>
      <c r="G140" s="130" t="s">
        <v>1613</v>
      </c>
      <c r="H140" s="42" t="s">
        <v>18</v>
      </c>
      <c r="I140" s="51" t="s">
        <v>19</v>
      </c>
      <c r="J140" s="65"/>
      <c r="K140" s="51" t="s">
        <v>20</v>
      </c>
      <c r="L140" s="69"/>
      <c r="M140" s="51"/>
    </row>
    <row r="141" spans="1:13">
      <c r="A141" s="95" t="s">
        <v>1614</v>
      </c>
      <c r="B141" s="48">
        <v>2</v>
      </c>
      <c r="C141" s="76">
        <v>2</v>
      </c>
      <c r="D141" s="59" t="s">
        <v>312</v>
      </c>
      <c r="E141" s="53" t="s">
        <v>1311</v>
      </c>
      <c r="F141" s="33" t="s">
        <v>1615</v>
      </c>
      <c r="G141" s="130" t="s">
        <v>1616</v>
      </c>
      <c r="H141" s="42" t="s">
        <v>18</v>
      </c>
      <c r="I141" s="51" t="s">
        <v>19</v>
      </c>
      <c r="J141" s="65"/>
      <c r="K141" s="51" t="s">
        <v>20</v>
      </c>
      <c r="L141" s="69"/>
      <c r="M141" s="51"/>
    </row>
    <row r="142" spans="1:13">
      <c r="A142" s="95" t="s">
        <v>1617</v>
      </c>
      <c r="B142" s="48">
        <v>1</v>
      </c>
      <c r="C142" s="76">
        <v>1</v>
      </c>
      <c r="D142" s="59" t="s">
        <v>312</v>
      </c>
      <c r="E142" s="53" t="s">
        <v>1336</v>
      </c>
      <c r="F142" s="35" t="s">
        <v>1618</v>
      </c>
      <c r="G142" s="133" t="s">
        <v>1619</v>
      </c>
      <c r="H142" s="42" t="s">
        <v>1620</v>
      </c>
      <c r="I142" s="51" t="s">
        <v>19</v>
      </c>
      <c r="J142" s="65"/>
      <c r="K142" s="51" t="s">
        <v>20</v>
      </c>
      <c r="L142" s="69"/>
      <c r="M142" s="51" t="s">
        <v>57</v>
      </c>
    </row>
    <row r="143" spans="1:13">
      <c r="A143" s="95" t="s">
        <v>1621</v>
      </c>
      <c r="B143" s="48">
        <v>1</v>
      </c>
      <c r="C143" s="76">
        <v>1</v>
      </c>
      <c r="D143" s="59" t="s">
        <v>312</v>
      </c>
      <c r="E143" s="53" t="s">
        <v>1336</v>
      </c>
      <c r="F143" s="35" t="s">
        <v>1622</v>
      </c>
      <c r="G143" s="133" t="s">
        <v>1623</v>
      </c>
      <c r="H143" s="42" t="s">
        <v>1624</v>
      </c>
      <c r="I143" s="51" t="s">
        <v>19</v>
      </c>
      <c r="J143" s="65"/>
      <c r="K143" s="51" t="s">
        <v>20</v>
      </c>
      <c r="L143" s="69"/>
      <c r="M143" s="51" t="s">
        <v>57</v>
      </c>
    </row>
    <row r="144" spans="1:13">
      <c r="A144" s="95" t="s">
        <v>1625</v>
      </c>
      <c r="B144" s="48"/>
      <c r="C144" s="74">
        <v>3</v>
      </c>
      <c r="D144" s="59" t="s">
        <v>394</v>
      </c>
      <c r="E144" s="53" t="s">
        <v>963</v>
      </c>
      <c r="F144" s="33" t="s">
        <v>1626</v>
      </c>
      <c r="G144" s="137" t="s">
        <v>1627</v>
      </c>
      <c r="H144" s="42" t="s">
        <v>405</v>
      </c>
      <c r="I144" s="51" t="s">
        <v>19</v>
      </c>
      <c r="J144" s="65"/>
      <c r="K144" s="51" t="s">
        <v>20</v>
      </c>
      <c r="L144" s="69"/>
      <c r="M144" s="51"/>
    </row>
    <row r="145" spans="1:13">
      <c r="A145" s="95" t="s">
        <v>1628</v>
      </c>
      <c r="B145" s="48"/>
      <c r="C145" s="74">
        <v>3</v>
      </c>
      <c r="D145" s="59" t="s">
        <v>394</v>
      </c>
      <c r="E145" s="53" t="s">
        <v>963</v>
      </c>
      <c r="F145" s="35" t="s">
        <v>1629</v>
      </c>
      <c r="G145" s="132" t="s">
        <v>1630</v>
      </c>
      <c r="H145" s="42" t="s">
        <v>1631</v>
      </c>
      <c r="I145" s="51" t="s">
        <v>19</v>
      </c>
      <c r="J145" s="65"/>
      <c r="K145" s="51" t="s">
        <v>20</v>
      </c>
      <c r="L145" s="69"/>
      <c r="M145" s="51" t="s">
        <v>57</v>
      </c>
    </row>
    <row r="146" spans="1:13">
      <c r="A146" s="95" t="s">
        <v>1632</v>
      </c>
      <c r="B146" s="48"/>
      <c r="C146" s="74">
        <v>3</v>
      </c>
      <c r="D146" s="59" t="s">
        <v>394</v>
      </c>
      <c r="E146" s="53" t="s">
        <v>963</v>
      </c>
      <c r="F146" s="33" t="s">
        <v>1633</v>
      </c>
      <c r="G146" s="137" t="s">
        <v>1634</v>
      </c>
      <c r="H146" s="42" t="s">
        <v>1635</v>
      </c>
      <c r="I146" s="51" t="s">
        <v>19</v>
      </c>
      <c r="J146" s="65"/>
      <c r="K146" s="51" t="s">
        <v>20</v>
      </c>
      <c r="L146" s="69"/>
      <c r="M146" s="51"/>
    </row>
    <row r="147" spans="1:13">
      <c r="A147" s="95" t="s">
        <v>1636</v>
      </c>
      <c r="B147" s="48"/>
      <c r="C147" s="74">
        <v>3</v>
      </c>
      <c r="D147" s="59" t="s">
        <v>394</v>
      </c>
      <c r="E147" s="53" t="s">
        <v>407</v>
      </c>
      <c r="F147" s="35" t="s">
        <v>1637</v>
      </c>
      <c r="G147" s="132" t="s">
        <v>1638</v>
      </c>
      <c r="H147" s="42" t="s">
        <v>405</v>
      </c>
      <c r="I147" s="51" t="s">
        <v>19</v>
      </c>
      <c r="J147" s="65"/>
      <c r="K147" s="51" t="s">
        <v>20</v>
      </c>
      <c r="L147" s="69"/>
      <c r="M147" s="51" t="s">
        <v>57</v>
      </c>
    </row>
    <row r="148" spans="1:13">
      <c r="A148" s="95" t="s">
        <v>1639</v>
      </c>
      <c r="B148" s="48"/>
      <c r="C148" s="74">
        <v>3</v>
      </c>
      <c r="D148" s="59" t="s">
        <v>394</v>
      </c>
      <c r="E148" s="53" t="s">
        <v>407</v>
      </c>
      <c r="F148" s="35" t="s">
        <v>1640</v>
      </c>
      <c r="G148" s="132" t="s">
        <v>1641</v>
      </c>
      <c r="H148" s="42" t="s">
        <v>1642</v>
      </c>
      <c r="I148" s="51" t="s">
        <v>19</v>
      </c>
      <c r="J148" s="65"/>
      <c r="K148" s="51" t="s">
        <v>20</v>
      </c>
      <c r="L148" s="69"/>
      <c r="M148" s="51" t="s">
        <v>57</v>
      </c>
    </row>
    <row r="149" spans="1:13">
      <c r="A149" s="95" t="s">
        <v>1643</v>
      </c>
      <c r="B149" s="48">
        <v>2</v>
      </c>
      <c r="C149" s="74">
        <v>2</v>
      </c>
      <c r="D149" s="59" t="s">
        <v>394</v>
      </c>
      <c r="E149" s="53" t="s">
        <v>1644</v>
      </c>
      <c r="F149" s="35" t="s">
        <v>1645</v>
      </c>
      <c r="G149" s="132" t="s">
        <v>1646</v>
      </c>
      <c r="H149" s="42" t="s">
        <v>405</v>
      </c>
      <c r="I149" s="51" t="s">
        <v>19</v>
      </c>
      <c r="J149" s="65"/>
      <c r="K149" s="51" t="s">
        <v>20</v>
      </c>
      <c r="L149" s="69"/>
      <c r="M149" s="51" t="s">
        <v>57</v>
      </c>
    </row>
    <row r="150" spans="1:13">
      <c r="A150" s="95" t="s">
        <v>1647</v>
      </c>
      <c r="B150" s="48"/>
      <c r="C150" s="74">
        <v>2</v>
      </c>
      <c r="D150" s="59" t="s">
        <v>394</v>
      </c>
      <c r="E150" s="53" t="s">
        <v>1644</v>
      </c>
      <c r="F150" s="35" t="s">
        <v>1648</v>
      </c>
      <c r="G150" s="132" t="s">
        <v>1649</v>
      </c>
      <c r="H150" s="42" t="s">
        <v>1650</v>
      </c>
      <c r="I150" s="51" t="s">
        <v>19</v>
      </c>
      <c r="J150" s="65"/>
      <c r="K150" s="51" t="s">
        <v>20</v>
      </c>
      <c r="L150" s="69"/>
      <c r="M150" s="51" t="s">
        <v>57</v>
      </c>
    </row>
    <row r="151" spans="1:13">
      <c r="A151" s="95" t="s">
        <v>1651</v>
      </c>
      <c r="B151" s="48"/>
      <c r="C151" s="74">
        <v>2</v>
      </c>
      <c r="D151" s="59" t="s">
        <v>394</v>
      </c>
      <c r="E151" s="53" t="s">
        <v>1644</v>
      </c>
      <c r="F151" s="35" t="s">
        <v>1652</v>
      </c>
      <c r="G151" s="132" t="s">
        <v>1653</v>
      </c>
      <c r="H151" s="42" t="s">
        <v>405</v>
      </c>
      <c r="I151" s="51" t="s">
        <v>19</v>
      </c>
      <c r="J151" s="65"/>
      <c r="K151" s="51" t="s">
        <v>20</v>
      </c>
      <c r="L151" s="69"/>
      <c r="M151" s="51" t="s">
        <v>57</v>
      </c>
    </row>
    <row r="152" spans="1:13">
      <c r="A152" s="95" t="s">
        <v>1654</v>
      </c>
      <c r="B152" s="48"/>
      <c r="C152" s="74">
        <v>2</v>
      </c>
      <c r="D152" s="59" t="s">
        <v>394</v>
      </c>
      <c r="E152" s="53" t="s">
        <v>1227</v>
      </c>
      <c r="F152" s="35" t="s">
        <v>1655</v>
      </c>
      <c r="G152" s="132" t="s">
        <v>1656</v>
      </c>
      <c r="H152" s="42" t="s">
        <v>405</v>
      </c>
      <c r="I152" s="51" t="s">
        <v>19</v>
      </c>
      <c r="J152" s="65"/>
      <c r="K152" s="51" t="s">
        <v>20</v>
      </c>
      <c r="L152" s="69"/>
      <c r="M152" s="51" t="s">
        <v>1521</v>
      </c>
    </row>
    <row r="153" spans="1:13">
      <c r="A153" s="95" t="s">
        <v>1657</v>
      </c>
      <c r="B153" s="48">
        <v>2</v>
      </c>
      <c r="C153" s="74">
        <v>2</v>
      </c>
      <c r="D153" s="59" t="s">
        <v>394</v>
      </c>
      <c r="E153" s="53" t="s">
        <v>1227</v>
      </c>
      <c r="F153" s="35" t="s">
        <v>1658</v>
      </c>
      <c r="G153" s="132" t="s">
        <v>1659</v>
      </c>
      <c r="H153" s="111" t="s">
        <v>1660</v>
      </c>
      <c r="I153" s="51" t="s">
        <v>19</v>
      </c>
      <c r="J153" s="65"/>
      <c r="K153" s="51" t="s">
        <v>20</v>
      </c>
      <c r="L153" s="69"/>
      <c r="M153" s="51" t="s">
        <v>1521</v>
      </c>
    </row>
    <row r="154" spans="1:13">
      <c r="A154" s="95" t="s">
        <v>1661</v>
      </c>
      <c r="B154" s="48"/>
      <c r="C154" s="74">
        <v>2</v>
      </c>
      <c r="D154" s="59" t="s">
        <v>394</v>
      </c>
      <c r="E154" s="53" t="s">
        <v>1227</v>
      </c>
      <c r="F154" s="35" t="s">
        <v>1662</v>
      </c>
      <c r="G154" s="132" t="s">
        <v>1663</v>
      </c>
      <c r="H154" s="42" t="s">
        <v>1664</v>
      </c>
      <c r="I154" s="51" t="s">
        <v>19</v>
      </c>
      <c r="J154" s="65"/>
      <c r="K154" s="51" t="s">
        <v>20</v>
      </c>
      <c r="L154" s="69"/>
      <c r="M154" s="51" t="s">
        <v>1521</v>
      </c>
    </row>
    <row r="155" spans="1:13">
      <c r="A155" s="95" t="s">
        <v>1665</v>
      </c>
      <c r="B155" s="48">
        <v>2</v>
      </c>
      <c r="C155" s="74">
        <v>2</v>
      </c>
      <c r="D155" s="59" t="s">
        <v>394</v>
      </c>
      <c r="E155" s="53" t="s">
        <v>1227</v>
      </c>
      <c r="F155" s="35" t="s">
        <v>1666</v>
      </c>
      <c r="G155" s="132" t="s">
        <v>1667</v>
      </c>
      <c r="H155" s="42" t="s">
        <v>1668</v>
      </c>
      <c r="I155" s="51" t="s">
        <v>19</v>
      </c>
      <c r="J155" s="65"/>
      <c r="K155" s="51" t="s">
        <v>20</v>
      </c>
      <c r="L155" s="69"/>
      <c r="M155" s="51" t="s">
        <v>1521</v>
      </c>
    </row>
    <row r="156" spans="1:13">
      <c r="A156" s="95" t="s">
        <v>1669</v>
      </c>
      <c r="B156" s="48">
        <v>2</v>
      </c>
      <c r="C156" s="74">
        <v>2</v>
      </c>
      <c r="D156" s="59" t="s">
        <v>394</v>
      </c>
      <c r="E156" s="53" t="s">
        <v>1227</v>
      </c>
      <c r="F156" s="35" t="s">
        <v>1670</v>
      </c>
      <c r="G156" s="132" t="s">
        <v>1671</v>
      </c>
      <c r="H156" s="42" t="s">
        <v>1672</v>
      </c>
      <c r="I156" s="51" t="s">
        <v>19</v>
      </c>
      <c r="J156" s="65"/>
      <c r="K156" s="51" t="s">
        <v>20</v>
      </c>
      <c r="L156" s="69"/>
      <c r="M156" s="51" t="s">
        <v>1521</v>
      </c>
    </row>
    <row r="157" spans="1:13">
      <c r="A157" s="95" t="s">
        <v>1673</v>
      </c>
      <c r="B157" s="48"/>
      <c r="C157" s="74">
        <v>3</v>
      </c>
      <c r="D157" s="57" t="s">
        <v>394</v>
      </c>
      <c r="E157" s="53" t="s">
        <v>442</v>
      </c>
      <c r="F157" s="35" t="s">
        <v>1674</v>
      </c>
      <c r="G157" s="132" t="s">
        <v>1675</v>
      </c>
      <c r="H157" s="42" t="s">
        <v>1676</v>
      </c>
      <c r="I157" s="51" t="s">
        <v>19</v>
      </c>
      <c r="J157" s="65"/>
      <c r="K157" s="51" t="s">
        <v>20</v>
      </c>
      <c r="L157" s="69"/>
      <c r="M157" s="51" t="s">
        <v>57</v>
      </c>
    </row>
    <row r="158" spans="1:13">
      <c r="A158" s="95" t="s">
        <v>1677</v>
      </c>
      <c r="B158" s="48"/>
      <c r="C158" s="74">
        <v>3</v>
      </c>
      <c r="D158" s="59" t="s">
        <v>394</v>
      </c>
      <c r="E158" s="53" t="s">
        <v>442</v>
      </c>
      <c r="F158" s="35" t="s">
        <v>1678</v>
      </c>
      <c r="G158" s="132" t="s">
        <v>1679</v>
      </c>
      <c r="H158" s="42" t="s">
        <v>1680</v>
      </c>
      <c r="I158" s="51" t="s">
        <v>19</v>
      </c>
      <c r="J158" s="65"/>
      <c r="K158" s="51" t="s">
        <v>20</v>
      </c>
      <c r="L158" s="69"/>
      <c r="M158" s="51" t="s">
        <v>57</v>
      </c>
    </row>
    <row r="159" spans="1:13">
      <c r="A159" s="95" t="s">
        <v>1681</v>
      </c>
      <c r="B159" s="48"/>
      <c r="C159" s="74">
        <v>3</v>
      </c>
      <c r="D159" s="59" t="s">
        <v>394</v>
      </c>
      <c r="E159" s="53" t="s">
        <v>442</v>
      </c>
      <c r="F159" s="35" t="s">
        <v>1682</v>
      </c>
      <c r="G159" s="132" t="s">
        <v>1683</v>
      </c>
      <c r="H159" s="42" t="s">
        <v>1684</v>
      </c>
      <c r="I159" s="51" t="s">
        <v>19</v>
      </c>
      <c r="J159" s="65"/>
      <c r="K159" s="51" t="s">
        <v>20</v>
      </c>
      <c r="L159" s="69"/>
      <c r="M159" s="51" t="s">
        <v>57</v>
      </c>
    </row>
    <row r="160" spans="1:13">
      <c r="A160" s="95" t="s">
        <v>1685</v>
      </c>
      <c r="B160" s="48"/>
      <c r="C160" s="74">
        <v>3</v>
      </c>
      <c r="D160" s="59" t="s">
        <v>394</v>
      </c>
      <c r="E160" s="53" t="s">
        <v>442</v>
      </c>
      <c r="F160" s="35" t="s">
        <v>1686</v>
      </c>
      <c r="G160" s="132" t="s">
        <v>1687</v>
      </c>
      <c r="H160" s="42" t="s">
        <v>405</v>
      </c>
      <c r="I160" s="51" t="s">
        <v>19</v>
      </c>
      <c r="J160" s="65"/>
      <c r="K160" s="51" t="s">
        <v>20</v>
      </c>
      <c r="L160" s="69"/>
      <c r="M160" s="51" t="s">
        <v>57</v>
      </c>
    </row>
    <row r="161" spans="1:13">
      <c r="A161" s="95" t="s">
        <v>1688</v>
      </c>
      <c r="B161" s="48"/>
      <c r="C161" s="74">
        <v>2</v>
      </c>
      <c r="D161" s="59" t="s">
        <v>394</v>
      </c>
      <c r="E161" s="53" t="s">
        <v>447</v>
      </c>
      <c r="F161" s="35" t="s">
        <v>1689</v>
      </c>
      <c r="G161" s="132" t="s">
        <v>1690</v>
      </c>
      <c r="H161" s="42" t="s">
        <v>1691</v>
      </c>
      <c r="I161" s="51" t="s">
        <v>19</v>
      </c>
      <c r="J161" s="65"/>
      <c r="K161" s="51" t="s">
        <v>20</v>
      </c>
      <c r="L161" s="69"/>
      <c r="M161" s="51" t="s">
        <v>57</v>
      </c>
    </row>
    <row r="162" spans="1:13">
      <c r="A162" s="95" t="s">
        <v>1692</v>
      </c>
      <c r="B162" s="48"/>
      <c r="C162" s="74">
        <v>3</v>
      </c>
      <c r="D162" s="59" t="s">
        <v>394</v>
      </c>
      <c r="E162" s="53" t="s">
        <v>447</v>
      </c>
      <c r="F162" s="35" t="s">
        <v>1693</v>
      </c>
      <c r="G162" s="132" t="s">
        <v>1694</v>
      </c>
      <c r="H162" s="42" t="s">
        <v>1695</v>
      </c>
      <c r="I162" s="51" t="s">
        <v>19</v>
      </c>
      <c r="J162" s="65"/>
      <c r="K162" s="51" t="s">
        <v>20</v>
      </c>
      <c r="L162" s="69"/>
      <c r="M162" s="51" t="s">
        <v>57</v>
      </c>
    </row>
    <row r="163" spans="1:13">
      <c r="A163" s="95" t="s">
        <v>1696</v>
      </c>
      <c r="B163" s="48"/>
      <c r="C163" s="74">
        <v>3</v>
      </c>
      <c r="D163" s="59" t="s">
        <v>394</v>
      </c>
      <c r="E163" s="53" t="s">
        <v>447</v>
      </c>
      <c r="F163" s="35" t="s">
        <v>1697</v>
      </c>
      <c r="G163" s="132" t="s">
        <v>1698</v>
      </c>
      <c r="H163" s="42" t="s">
        <v>1699</v>
      </c>
      <c r="I163" s="51" t="s">
        <v>19</v>
      </c>
      <c r="J163" s="65"/>
      <c r="K163" s="51" t="s">
        <v>20</v>
      </c>
      <c r="L163" s="69"/>
      <c r="M163" s="51" t="s">
        <v>57</v>
      </c>
    </row>
    <row r="164" spans="1:13">
      <c r="A164" s="95" t="s">
        <v>1700</v>
      </c>
      <c r="B164" s="48"/>
      <c r="C164" s="74">
        <v>2</v>
      </c>
      <c r="D164" s="59" t="s">
        <v>394</v>
      </c>
      <c r="E164" s="53" t="s">
        <v>447</v>
      </c>
      <c r="F164" s="35" t="s">
        <v>1701</v>
      </c>
      <c r="G164" s="132" t="s">
        <v>1702</v>
      </c>
      <c r="H164" s="42" t="s">
        <v>1703</v>
      </c>
      <c r="I164" s="51" t="s">
        <v>19</v>
      </c>
      <c r="J164" s="65"/>
      <c r="K164" s="51" t="s">
        <v>20</v>
      </c>
      <c r="L164" s="69"/>
      <c r="M164" s="51" t="s">
        <v>57</v>
      </c>
    </row>
    <row r="165" spans="1:13">
      <c r="A165" s="95" t="s">
        <v>1704</v>
      </c>
      <c r="B165" s="48"/>
      <c r="C165" s="74">
        <v>3</v>
      </c>
      <c r="D165" s="59" t="s">
        <v>394</v>
      </c>
      <c r="E165" s="53" t="s">
        <v>447</v>
      </c>
      <c r="F165" s="35" t="s">
        <v>1705</v>
      </c>
      <c r="G165" s="132" t="s">
        <v>1706</v>
      </c>
      <c r="H165" s="42" t="s">
        <v>1707</v>
      </c>
      <c r="I165" s="51" t="s">
        <v>19</v>
      </c>
      <c r="J165" s="65"/>
      <c r="K165" s="51" t="s">
        <v>20</v>
      </c>
      <c r="L165" s="69"/>
      <c r="M165" s="51" t="s">
        <v>57</v>
      </c>
    </row>
    <row r="166" spans="1:13">
      <c r="A166" s="95" t="s">
        <v>1708</v>
      </c>
      <c r="B166" s="48"/>
      <c r="C166" s="74">
        <v>3</v>
      </c>
      <c r="D166" s="59" t="s">
        <v>394</v>
      </c>
      <c r="E166" s="53" t="s">
        <v>1709</v>
      </c>
      <c r="F166" s="35" t="s">
        <v>1710</v>
      </c>
      <c r="G166" s="132" t="s">
        <v>1711</v>
      </c>
      <c r="H166" s="42" t="s">
        <v>405</v>
      </c>
      <c r="I166" s="51" t="s">
        <v>19</v>
      </c>
      <c r="J166" s="65"/>
      <c r="K166" s="51" t="s">
        <v>20</v>
      </c>
      <c r="L166" s="69"/>
      <c r="M166" s="51" t="s">
        <v>57</v>
      </c>
    </row>
    <row r="167" spans="1:13">
      <c r="A167" s="95" t="s">
        <v>1712</v>
      </c>
      <c r="B167" s="48">
        <v>2</v>
      </c>
      <c r="C167" s="74">
        <v>2</v>
      </c>
      <c r="D167" s="59" t="s">
        <v>394</v>
      </c>
      <c r="E167" s="53" t="s">
        <v>452</v>
      </c>
      <c r="F167" s="35" t="s">
        <v>1713</v>
      </c>
      <c r="G167" s="132" t="s">
        <v>1714</v>
      </c>
      <c r="H167" s="42" t="s">
        <v>1715</v>
      </c>
      <c r="I167" s="51" t="s">
        <v>19</v>
      </c>
      <c r="J167" s="65"/>
      <c r="K167" s="51" t="s">
        <v>20</v>
      </c>
      <c r="L167" s="69"/>
      <c r="M167" s="51" t="s">
        <v>57</v>
      </c>
    </row>
    <row r="168" spans="1:13">
      <c r="A168" s="95" t="s">
        <v>1716</v>
      </c>
      <c r="B168" s="48">
        <v>2</v>
      </c>
      <c r="C168" s="74">
        <v>2</v>
      </c>
      <c r="D168" s="59" t="s">
        <v>394</v>
      </c>
      <c r="E168" s="53" t="s">
        <v>452</v>
      </c>
      <c r="F168" s="35" t="s">
        <v>1717</v>
      </c>
      <c r="G168" s="132" t="s">
        <v>1718</v>
      </c>
      <c r="H168" s="42" t="s">
        <v>1715</v>
      </c>
      <c r="I168" s="51" t="s">
        <v>19</v>
      </c>
      <c r="J168" s="65"/>
      <c r="K168" s="51" t="s">
        <v>20</v>
      </c>
      <c r="L168" s="69"/>
      <c r="M168" s="51" t="s">
        <v>57</v>
      </c>
    </row>
    <row r="169" spans="1:13">
      <c r="A169" s="95" t="s">
        <v>1719</v>
      </c>
      <c r="B169" s="48"/>
      <c r="C169" s="75">
        <v>3</v>
      </c>
      <c r="D169" s="59" t="s">
        <v>394</v>
      </c>
      <c r="E169" s="53" t="s">
        <v>452</v>
      </c>
      <c r="F169" s="33" t="s">
        <v>1720</v>
      </c>
      <c r="G169" s="137" t="s">
        <v>1721</v>
      </c>
      <c r="H169" s="42" t="s">
        <v>1722</v>
      </c>
      <c r="I169" s="51" t="s">
        <v>19</v>
      </c>
      <c r="J169" s="65"/>
      <c r="K169" s="51" t="s">
        <v>20</v>
      </c>
      <c r="L169" s="69"/>
      <c r="M169" s="51"/>
    </row>
    <row r="170" spans="1:13">
      <c r="A170" s="95" t="s">
        <v>1723</v>
      </c>
      <c r="B170" s="48"/>
      <c r="C170" s="75">
        <v>3</v>
      </c>
      <c r="D170" s="59" t="s">
        <v>394</v>
      </c>
      <c r="E170" s="53" t="s">
        <v>1724</v>
      </c>
      <c r="F170" s="35" t="s">
        <v>1725</v>
      </c>
      <c r="G170" s="132" t="s">
        <v>1726</v>
      </c>
      <c r="H170" s="42" t="s">
        <v>1727</v>
      </c>
      <c r="I170" s="51" t="s">
        <v>19</v>
      </c>
      <c r="J170" s="65"/>
      <c r="K170" s="51" t="s">
        <v>20</v>
      </c>
      <c r="L170" s="69"/>
      <c r="M170" s="51" t="s">
        <v>57</v>
      </c>
    </row>
    <row r="171" spans="1:13">
      <c r="A171" s="95" t="s">
        <v>1728</v>
      </c>
      <c r="B171" s="48"/>
      <c r="C171" s="75">
        <v>3</v>
      </c>
      <c r="D171" s="59" t="s">
        <v>394</v>
      </c>
      <c r="E171" s="53" t="s">
        <v>1724</v>
      </c>
      <c r="F171" s="35" t="s">
        <v>1729</v>
      </c>
      <c r="G171" s="132" t="s">
        <v>1730</v>
      </c>
      <c r="H171" s="42" t="s">
        <v>1731</v>
      </c>
      <c r="I171" s="51" t="s">
        <v>19</v>
      </c>
      <c r="J171" s="65"/>
      <c r="K171" s="51" t="s">
        <v>20</v>
      </c>
      <c r="L171" s="69"/>
      <c r="M171" s="51" t="s">
        <v>57</v>
      </c>
    </row>
    <row r="172" spans="1:13">
      <c r="A172" s="95" t="s">
        <v>1732</v>
      </c>
      <c r="B172" s="48"/>
      <c r="C172" s="55">
        <v>3</v>
      </c>
      <c r="D172" s="59" t="s">
        <v>394</v>
      </c>
      <c r="E172" s="53" t="s">
        <v>1724</v>
      </c>
      <c r="F172" s="35" t="s">
        <v>1733</v>
      </c>
      <c r="G172" s="132" t="s">
        <v>1734</v>
      </c>
      <c r="H172" s="42" t="s">
        <v>1735</v>
      </c>
      <c r="I172" s="51" t="s">
        <v>19</v>
      </c>
      <c r="J172" s="65"/>
      <c r="K172" s="51" t="s">
        <v>20</v>
      </c>
      <c r="L172" s="69"/>
      <c r="M172" s="51" t="s">
        <v>57</v>
      </c>
    </row>
    <row r="173" spans="1:13">
      <c r="A173" s="95" t="s">
        <v>1736</v>
      </c>
      <c r="B173" s="47">
        <v>3</v>
      </c>
      <c r="C173" s="55">
        <v>2</v>
      </c>
      <c r="D173" s="57" t="s">
        <v>461</v>
      </c>
      <c r="E173" s="53" t="s">
        <v>193</v>
      </c>
      <c r="F173" s="35" t="s">
        <v>1737</v>
      </c>
      <c r="G173" s="136" t="s">
        <v>1738</v>
      </c>
      <c r="H173" s="42" t="s">
        <v>1739</v>
      </c>
      <c r="I173" s="51" t="s">
        <v>19</v>
      </c>
      <c r="J173" s="65"/>
      <c r="K173" s="51" t="s">
        <v>20</v>
      </c>
      <c r="L173" s="69"/>
      <c r="M173" s="51" t="s">
        <v>57</v>
      </c>
    </row>
    <row r="174" spans="1:13">
      <c r="A174" s="95" t="s">
        <v>1740</v>
      </c>
      <c r="B174" s="47">
        <v>3</v>
      </c>
      <c r="C174" s="55">
        <v>2</v>
      </c>
      <c r="D174" s="57" t="s">
        <v>461</v>
      </c>
      <c r="E174" s="53" t="s">
        <v>1741</v>
      </c>
      <c r="F174" s="33" t="s">
        <v>1742</v>
      </c>
      <c r="G174" s="131" t="s">
        <v>1743</v>
      </c>
      <c r="H174" s="42" t="s">
        <v>1744</v>
      </c>
      <c r="I174" s="51" t="s">
        <v>19</v>
      </c>
      <c r="J174" s="65"/>
      <c r="K174" s="51" t="s">
        <v>20</v>
      </c>
      <c r="L174" s="69"/>
      <c r="M174" s="51"/>
    </row>
    <row r="175" spans="1:13">
      <c r="A175" s="95" t="s">
        <v>1745</v>
      </c>
      <c r="B175" s="47">
        <v>2</v>
      </c>
      <c r="C175" s="55">
        <v>2</v>
      </c>
      <c r="D175" s="57" t="s">
        <v>461</v>
      </c>
      <c r="E175" s="53" t="s">
        <v>1741</v>
      </c>
      <c r="F175" s="34" t="s">
        <v>1746</v>
      </c>
      <c r="G175" s="131" t="s">
        <v>1747</v>
      </c>
      <c r="H175" s="42" t="s">
        <v>1748</v>
      </c>
      <c r="I175" s="51" t="s">
        <v>236</v>
      </c>
      <c r="J175" s="65"/>
      <c r="K175" s="51" t="s">
        <v>20</v>
      </c>
      <c r="L175" s="69"/>
      <c r="M175" s="51"/>
    </row>
    <row r="176" spans="1:13">
      <c r="A176" s="95" t="s">
        <v>1749</v>
      </c>
      <c r="B176" s="47">
        <v>2</v>
      </c>
      <c r="C176" s="55">
        <v>2</v>
      </c>
      <c r="D176" s="57" t="s">
        <v>461</v>
      </c>
      <c r="E176" s="53" t="s">
        <v>1741</v>
      </c>
      <c r="F176" s="34" t="s">
        <v>1750</v>
      </c>
      <c r="G176" s="131" t="s">
        <v>1751</v>
      </c>
      <c r="H176" s="42" t="s">
        <v>1752</v>
      </c>
      <c r="I176" s="51" t="s">
        <v>19</v>
      </c>
      <c r="J176" s="65"/>
      <c r="K176" s="51" t="s">
        <v>20</v>
      </c>
      <c r="L176" s="69"/>
      <c r="M176" s="51"/>
    </row>
    <row r="177" spans="1:13">
      <c r="A177" s="95" t="s">
        <v>1753</v>
      </c>
      <c r="B177" s="47"/>
      <c r="C177" s="55">
        <v>2</v>
      </c>
      <c r="D177" s="57" t="s">
        <v>461</v>
      </c>
      <c r="E177" s="53" t="s">
        <v>1741</v>
      </c>
      <c r="F177" s="34" t="s">
        <v>1754</v>
      </c>
      <c r="G177" s="131" t="s">
        <v>1755</v>
      </c>
      <c r="H177" s="42" t="s">
        <v>1320</v>
      </c>
      <c r="I177" s="51" t="s">
        <v>19</v>
      </c>
      <c r="J177" s="65"/>
      <c r="K177" s="51" t="s">
        <v>88</v>
      </c>
      <c r="L177" s="69"/>
      <c r="M177" s="51"/>
    </row>
    <row r="178" spans="1:13">
      <c r="A178" s="95" t="s">
        <v>1756</v>
      </c>
      <c r="B178" s="47"/>
      <c r="C178" s="55">
        <v>3</v>
      </c>
      <c r="D178" s="57" t="s">
        <v>461</v>
      </c>
      <c r="E178" s="53" t="s">
        <v>1741</v>
      </c>
      <c r="F178" s="34" t="s">
        <v>1757</v>
      </c>
      <c r="G178" s="131" t="s">
        <v>1758</v>
      </c>
      <c r="H178" s="42" t="s">
        <v>1759</v>
      </c>
      <c r="I178" s="51" t="s">
        <v>236</v>
      </c>
      <c r="J178" s="65"/>
      <c r="K178" s="51" t="s">
        <v>88</v>
      </c>
      <c r="L178" s="69"/>
      <c r="M178" s="51"/>
    </row>
    <row r="179" spans="1:13">
      <c r="A179" s="95" t="s">
        <v>1760</v>
      </c>
      <c r="B179" s="47"/>
      <c r="C179" s="55">
        <v>3</v>
      </c>
      <c r="D179" s="57" t="s">
        <v>461</v>
      </c>
      <c r="E179" s="53" t="s">
        <v>1741</v>
      </c>
      <c r="F179" s="34" t="s">
        <v>1761</v>
      </c>
      <c r="G179" s="131" t="s">
        <v>1762</v>
      </c>
      <c r="H179" s="42" t="s">
        <v>1763</v>
      </c>
      <c r="I179" s="51" t="s">
        <v>19</v>
      </c>
      <c r="J179" s="65"/>
      <c r="K179" s="51" t="s">
        <v>88</v>
      </c>
      <c r="L179" s="69"/>
      <c r="M179" s="51"/>
    </row>
    <row r="180" spans="1:13" s="85" customFormat="1">
      <c r="A180" s="95" t="s">
        <v>1764</v>
      </c>
      <c r="B180" s="47"/>
      <c r="C180" s="55">
        <v>2</v>
      </c>
      <c r="D180" s="57" t="s">
        <v>461</v>
      </c>
      <c r="E180" s="53" t="s">
        <v>284</v>
      </c>
      <c r="F180" s="35" t="s">
        <v>1765</v>
      </c>
      <c r="G180" s="136" t="s">
        <v>1766</v>
      </c>
      <c r="H180" s="30" t="s">
        <v>1767</v>
      </c>
      <c r="I180" s="51" t="s">
        <v>19</v>
      </c>
      <c r="J180" s="65"/>
      <c r="K180" s="51" t="s">
        <v>20</v>
      </c>
      <c r="L180" s="69"/>
      <c r="M180" s="51" t="s">
        <v>1768</v>
      </c>
    </row>
    <row r="181" spans="1:13">
      <c r="A181" s="95" t="s">
        <v>1769</v>
      </c>
      <c r="B181" s="47"/>
      <c r="C181" s="55">
        <v>3</v>
      </c>
      <c r="D181" s="57" t="s">
        <v>461</v>
      </c>
      <c r="E181" s="53" t="s">
        <v>1770</v>
      </c>
      <c r="F181" s="34" t="s">
        <v>1771</v>
      </c>
      <c r="G181" s="131" t="s">
        <v>1772</v>
      </c>
      <c r="H181" s="42" t="s">
        <v>1773</v>
      </c>
      <c r="I181" s="51" t="s">
        <v>19</v>
      </c>
      <c r="J181" s="65"/>
      <c r="K181" s="51" t="s">
        <v>20</v>
      </c>
      <c r="L181" s="69"/>
      <c r="M181" s="51"/>
    </row>
    <row r="182" spans="1:13">
      <c r="A182" s="95" t="s">
        <v>1774</v>
      </c>
      <c r="B182" s="47">
        <v>2</v>
      </c>
      <c r="C182" s="55">
        <v>2</v>
      </c>
      <c r="D182" s="57" t="s">
        <v>461</v>
      </c>
      <c r="E182" s="53" t="s">
        <v>483</v>
      </c>
      <c r="F182" s="35" t="s">
        <v>1775</v>
      </c>
      <c r="G182" s="136" t="s">
        <v>1776</v>
      </c>
      <c r="I182" s="51" t="s">
        <v>19</v>
      </c>
      <c r="J182" s="65"/>
      <c r="K182" s="51" t="s">
        <v>20</v>
      </c>
      <c r="L182" s="69"/>
      <c r="M182" s="51" t="s">
        <v>1777</v>
      </c>
    </row>
    <row r="183" spans="1:13">
      <c r="A183" s="95" t="s">
        <v>1778</v>
      </c>
      <c r="B183" s="47">
        <v>2</v>
      </c>
      <c r="C183" s="55">
        <v>2</v>
      </c>
      <c r="D183" s="57" t="s">
        <v>461</v>
      </c>
      <c r="E183" s="53" t="s">
        <v>1227</v>
      </c>
      <c r="F183" s="35" t="s">
        <v>1779</v>
      </c>
      <c r="G183" s="136" t="s">
        <v>1780</v>
      </c>
      <c r="H183" s="42" t="s">
        <v>1781</v>
      </c>
      <c r="I183" s="51" t="s">
        <v>19</v>
      </c>
      <c r="J183" s="65"/>
      <c r="K183" s="51" t="s">
        <v>20</v>
      </c>
      <c r="L183" s="69"/>
      <c r="M183" s="51" t="s">
        <v>1521</v>
      </c>
    </row>
    <row r="184" spans="1:13">
      <c r="A184" s="95" t="s">
        <v>1782</v>
      </c>
      <c r="B184" s="47">
        <v>2</v>
      </c>
      <c r="C184" s="55">
        <v>2</v>
      </c>
      <c r="D184" s="57" t="s">
        <v>461</v>
      </c>
      <c r="E184" s="53" t="s">
        <v>1227</v>
      </c>
      <c r="F184" s="35" t="s">
        <v>1783</v>
      </c>
      <c r="G184" s="132" t="s">
        <v>1784</v>
      </c>
      <c r="H184" s="42" t="s">
        <v>1785</v>
      </c>
      <c r="I184" s="51" t="s">
        <v>19</v>
      </c>
      <c r="J184" s="65"/>
      <c r="K184" s="51" t="s">
        <v>20</v>
      </c>
      <c r="L184" s="69"/>
      <c r="M184" s="51" t="s">
        <v>1521</v>
      </c>
    </row>
    <row r="185" spans="1:13">
      <c r="A185" s="95" t="s">
        <v>1786</v>
      </c>
      <c r="B185" s="47">
        <v>3</v>
      </c>
      <c r="C185" s="55">
        <v>2</v>
      </c>
      <c r="D185" s="57" t="s">
        <v>461</v>
      </c>
      <c r="E185" s="53" t="s">
        <v>1227</v>
      </c>
      <c r="F185" s="35" t="s">
        <v>1787</v>
      </c>
      <c r="G185" s="132" t="s">
        <v>1788</v>
      </c>
      <c r="H185" s="42" t="s">
        <v>1789</v>
      </c>
      <c r="I185" s="51" t="s">
        <v>33</v>
      </c>
      <c r="J185" s="65"/>
      <c r="K185" s="51" t="s">
        <v>20</v>
      </c>
      <c r="L185" s="69"/>
      <c r="M185" s="51" t="s">
        <v>1790</v>
      </c>
    </row>
    <row r="186" spans="1:13">
      <c r="A186" s="95" t="s">
        <v>1791</v>
      </c>
      <c r="B186" s="47">
        <v>3</v>
      </c>
      <c r="C186" s="55">
        <v>2</v>
      </c>
      <c r="D186" s="57" t="s">
        <v>461</v>
      </c>
      <c r="E186" s="53" t="s">
        <v>1227</v>
      </c>
      <c r="F186" s="35" t="s">
        <v>1792</v>
      </c>
      <c r="G186" s="132" t="s">
        <v>1793</v>
      </c>
      <c r="H186" s="42" t="s">
        <v>1794</v>
      </c>
      <c r="I186" s="51" t="s">
        <v>33</v>
      </c>
      <c r="J186" s="65"/>
      <c r="K186" s="51" t="s">
        <v>20</v>
      </c>
      <c r="L186" s="69"/>
      <c r="M186" s="51" t="s">
        <v>1521</v>
      </c>
    </row>
    <row r="187" spans="1:13">
      <c r="A187" s="95" t="s">
        <v>1795</v>
      </c>
      <c r="B187" s="47"/>
      <c r="C187" s="55">
        <v>2</v>
      </c>
      <c r="D187" s="57" t="s">
        <v>461</v>
      </c>
      <c r="E187" s="53" t="s">
        <v>1227</v>
      </c>
      <c r="F187" s="35" t="s">
        <v>1796</v>
      </c>
      <c r="G187" s="132" t="s">
        <v>1797</v>
      </c>
      <c r="H187" s="42" t="s">
        <v>1798</v>
      </c>
      <c r="I187" s="51" t="s">
        <v>33</v>
      </c>
      <c r="J187" s="65"/>
      <c r="K187" s="51" t="s">
        <v>20</v>
      </c>
      <c r="L187" s="69"/>
      <c r="M187" s="51" t="s">
        <v>1799</v>
      </c>
    </row>
    <row r="188" spans="1:13">
      <c r="A188" s="95" t="s">
        <v>1800</v>
      </c>
      <c r="B188" s="47">
        <v>2</v>
      </c>
      <c r="C188" s="55">
        <v>1</v>
      </c>
      <c r="D188" s="57" t="s">
        <v>461</v>
      </c>
      <c r="E188" s="53" t="s">
        <v>1801</v>
      </c>
      <c r="F188" s="35" t="s">
        <v>1802</v>
      </c>
      <c r="G188" s="136" t="s">
        <v>1803</v>
      </c>
      <c r="H188" s="42" t="s">
        <v>1804</v>
      </c>
      <c r="I188" s="51" t="s">
        <v>33</v>
      </c>
      <c r="J188" s="65"/>
      <c r="K188" s="51" t="s">
        <v>20</v>
      </c>
      <c r="L188" s="69"/>
      <c r="M188" s="51" t="s">
        <v>57</v>
      </c>
    </row>
    <row r="189" spans="1:13">
      <c r="A189" s="95" t="s">
        <v>1805</v>
      </c>
      <c r="B189" s="47">
        <v>2</v>
      </c>
      <c r="C189" s="55">
        <v>1</v>
      </c>
      <c r="D189" s="57" t="s">
        <v>461</v>
      </c>
      <c r="E189" s="53" t="s">
        <v>1801</v>
      </c>
      <c r="F189" s="35" t="s">
        <v>1806</v>
      </c>
      <c r="G189" s="132" t="s">
        <v>1807</v>
      </c>
      <c r="H189" s="42" t="s">
        <v>1808</v>
      </c>
      <c r="I189" s="51" t="s">
        <v>19</v>
      </c>
      <c r="J189" s="65"/>
      <c r="K189" s="51" t="s">
        <v>20</v>
      </c>
      <c r="L189" s="69"/>
      <c r="M189" s="51" t="s">
        <v>57</v>
      </c>
    </row>
    <row r="190" spans="1:13">
      <c r="A190" s="95" t="s">
        <v>1809</v>
      </c>
      <c r="B190" s="47">
        <v>2</v>
      </c>
      <c r="C190" s="55">
        <v>1</v>
      </c>
      <c r="D190" s="57" t="s">
        <v>461</v>
      </c>
      <c r="E190" s="53" t="s">
        <v>1801</v>
      </c>
      <c r="F190" s="35" t="s">
        <v>1810</v>
      </c>
      <c r="G190" s="132" t="s">
        <v>1811</v>
      </c>
      <c r="H190" s="42" t="s">
        <v>1808</v>
      </c>
      <c r="I190" s="51" t="s">
        <v>33</v>
      </c>
      <c r="J190" s="65"/>
      <c r="K190" s="51" t="s">
        <v>20</v>
      </c>
      <c r="L190" s="69"/>
      <c r="M190" s="51" t="s">
        <v>57</v>
      </c>
    </row>
    <row r="191" spans="1:13">
      <c r="A191" s="95" t="s">
        <v>1812</v>
      </c>
      <c r="B191" s="47"/>
      <c r="C191" s="55">
        <v>3</v>
      </c>
      <c r="D191" s="57" t="s">
        <v>461</v>
      </c>
      <c r="E191" s="53" t="s">
        <v>1801</v>
      </c>
      <c r="F191" s="35" t="s">
        <v>1813</v>
      </c>
      <c r="G191" s="136" t="s">
        <v>1814</v>
      </c>
      <c r="H191" s="42" t="s">
        <v>1815</v>
      </c>
      <c r="I191" s="51" t="s">
        <v>33</v>
      </c>
      <c r="J191" s="65"/>
      <c r="K191" s="51" t="s">
        <v>20</v>
      </c>
      <c r="L191" s="69"/>
      <c r="M191" s="51" t="s">
        <v>57</v>
      </c>
    </row>
    <row r="192" spans="1:13">
      <c r="A192" s="95" t="s">
        <v>1816</v>
      </c>
      <c r="B192" s="47"/>
      <c r="C192" s="55">
        <v>2</v>
      </c>
      <c r="D192" s="57" t="s">
        <v>461</v>
      </c>
      <c r="E192" s="53" t="s">
        <v>1817</v>
      </c>
      <c r="F192" s="33" t="s">
        <v>1818</v>
      </c>
      <c r="G192" s="131" t="s">
        <v>1819</v>
      </c>
      <c r="H192" s="42" t="s">
        <v>1820</v>
      </c>
      <c r="I192" s="51" t="s">
        <v>19</v>
      </c>
      <c r="J192" s="65"/>
      <c r="K192" s="51" t="s">
        <v>20</v>
      </c>
      <c r="L192" s="69"/>
      <c r="M192" s="51"/>
    </row>
    <row r="193" spans="1:13" ht="19" customHeight="1">
      <c r="A193" s="95" t="s">
        <v>1821</v>
      </c>
      <c r="B193" s="47">
        <v>2</v>
      </c>
      <c r="C193" s="55">
        <v>2</v>
      </c>
      <c r="D193" s="57" t="s">
        <v>461</v>
      </c>
      <c r="E193" s="53" t="s">
        <v>1822</v>
      </c>
      <c r="F193" s="33" t="s">
        <v>1823</v>
      </c>
      <c r="G193" s="137" t="s">
        <v>1824</v>
      </c>
      <c r="H193" s="42"/>
      <c r="I193" s="51" t="s">
        <v>236</v>
      </c>
      <c r="J193" s="65"/>
      <c r="K193" s="51"/>
      <c r="L193" s="97" t="s">
        <v>1825</v>
      </c>
      <c r="M193" s="51" t="s">
        <v>1826</v>
      </c>
    </row>
    <row r="194" spans="1:13">
      <c r="A194" s="95" t="s">
        <v>1827</v>
      </c>
      <c r="B194" s="47">
        <v>2</v>
      </c>
      <c r="C194" s="55">
        <v>2</v>
      </c>
      <c r="D194" s="57" t="s">
        <v>461</v>
      </c>
      <c r="E194" s="53" t="s">
        <v>1822</v>
      </c>
      <c r="F194" s="33" t="s">
        <v>1823</v>
      </c>
      <c r="G194" s="137" t="s">
        <v>1828</v>
      </c>
      <c r="H194" s="42" t="s">
        <v>1829</v>
      </c>
      <c r="I194" s="51" t="s">
        <v>236</v>
      </c>
      <c r="J194" s="65"/>
      <c r="K194" s="51"/>
      <c r="L194" s="97" t="s">
        <v>1825</v>
      </c>
      <c r="M194" s="51" t="s">
        <v>1826</v>
      </c>
    </row>
    <row r="195" spans="1:13">
      <c r="A195" s="95" t="s">
        <v>1830</v>
      </c>
      <c r="B195" s="47">
        <v>2</v>
      </c>
      <c r="C195" s="55">
        <v>2</v>
      </c>
      <c r="D195" s="57" t="s">
        <v>461</v>
      </c>
      <c r="E195" s="53" t="s">
        <v>1822</v>
      </c>
      <c r="F195" s="33" t="s">
        <v>1823</v>
      </c>
      <c r="G195" s="137" t="s">
        <v>1831</v>
      </c>
      <c r="H195" s="42" t="s">
        <v>1832</v>
      </c>
      <c r="I195" s="51" t="s">
        <v>236</v>
      </c>
      <c r="J195" s="65"/>
      <c r="K195" s="51"/>
      <c r="L195" s="97" t="s">
        <v>1825</v>
      </c>
      <c r="M195" s="51" t="s">
        <v>1826</v>
      </c>
    </row>
    <row r="196" spans="1:13">
      <c r="A196" s="95" t="s">
        <v>1833</v>
      </c>
      <c r="B196" s="47">
        <v>2</v>
      </c>
      <c r="C196" s="55">
        <v>2</v>
      </c>
      <c r="D196" s="57" t="s">
        <v>461</v>
      </c>
      <c r="E196" s="53" t="s">
        <v>1822</v>
      </c>
      <c r="F196" s="33" t="s">
        <v>1823</v>
      </c>
      <c r="G196" s="137" t="s">
        <v>1834</v>
      </c>
      <c r="H196" s="42" t="s">
        <v>1835</v>
      </c>
      <c r="I196" s="51" t="s">
        <v>236</v>
      </c>
      <c r="J196" s="65"/>
      <c r="K196" s="51"/>
      <c r="L196" s="97" t="s">
        <v>1825</v>
      </c>
      <c r="M196" s="51" t="s">
        <v>1826</v>
      </c>
    </row>
    <row r="197" spans="1:13">
      <c r="A197" s="95" t="s">
        <v>1836</v>
      </c>
      <c r="B197" s="47">
        <v>2</v>
      </c>
      <c r="C197" s="55">
        <v>2</v>
      </c>
      <c r="D197" s="57" t="s">
        <v>461</v>
      </c>
      <c r="E197" s="53" t="s">
        <v>1822</v>
      </c>
      <c r="F197" s="33" t="s">
        <v>1823</v>
      </c>
      <c r="G197" s="137" t="s">
        <v>1837</v>
      </c>
      <c r="H197" s="42" t="s">
        <v>1838</v>
      </c>
      <c r="I197" s="51" t="s">
        <v>236</v>
      </c>
      <c r="J197" s="65"/>
      <c r="K197" s="51"/>
      <c r="L197" s="97" t="s">
        <v>1825</v>
      </c>
      <c r="M197" s="51" t="s">
        <v>1826</v>
      </c>
    </row>
    <row r="198" spans="1:13">
      <c r="A198" s="95" t="s">
        <v>1839</v>
      </c>
      <c r="B198" s="47">
        <v>2</v>
      </c>
      <c r="C198" s="55">
        <v>2</v>
      </c>
      <c r="D198" s="57" t="s">
        <v>461</v>
      </c>
      <c r="E198" s="53" t="s">
        <v>1822</v>
      </c>
      <c r="F198" s="33" t="s">
        <v>1823</v>
      </c>
      <c r="G198" s="137" t="s">
        <v>1840</v>
      </c>
      <c r="H198" s="42" t="s">
        <v>1841</v>
      </c>
      <c r="I198" s="51" t="s">
        <v>236</v>
      </c>
      <c r="J198" s="65"/>
      <c r="K198" s="51"/>
      <c r="L198" s="97" t="s">
        <v>1825</v>
      </c>
      <c r="M198" s="51" t="s">
        <v>1826</v>
      </c>
    </row>
    <row r="199" spans="1:13">
      <c r="A199" s="95" t="s">
        <v>1842</v>
      </c>
      <c r="B199" s="47">
        <v>2</v>
      </c>
      <c r="C199" s="55">
        <v>2</v>
      </c>
      <c r="D199" s="57" t="s">
        <v>461</v>
      </c>
      <c r="E199" s="53" t="s">
        <v>1822</v>
      </c>
      <c r="F199" s="33" t="s">
        <v>1823</v>
      </c>
      <c r="G199" s="137" t="s">
        <v>1843</v>
      </c>
      <c r="H199" s="42" t="s">
        <v>1844</v>
      </c>
      <c r="I199" s="51" t="s">
        <v>236</v>
      </c>
      <c r="J199" s="65"/>
      <c r="K199" s="51"/>
      <c r="L199" s="97" t="s">
        <v>1825</v>
      </c>
      <c r="M199" s="51" t="s">
        <v>1826</v>
      </c>
    </row>
    <row r="200" spans="1:13">
      <c r="A200" s="95" t="s">
        <v>1845</v>
      </c>
      <c r="B200" s="47">
        <v>2</v>
      </c>
      <c r="C200" s="55">
        <v>2</v>
      </c>
      <c r="D200" s="57" t="s">
        <v>461</v>
      </c>
      <c r="E200" s="53" t="s">
        <v>1822</v>
      </c>
      <c r="F200" s="33" t="s">
        <v>1823</v>
      </c>
      <c r="G200" s="137" t="s">
        <v>1846</v>
      </c>
      <c r="H200" s="42" t="s">
        <v>1847</v>
      </c>
      <c r="I200" s="51" t="s">
        <v>236</v>
      </c>
      <c r="J200" s="65"/>
      <c r="K200" s="51"/>
      <c r="L200" s="97" t="s">
        <v>1825</v>
      </c>
      <c r="M200" s="51" t="s">
        <v>1826</v>
      </c>
    </row>
    <row r="201" spans="1:13">
      <c r="A201" s="95" t="s">
        <v>1848</v>
      </c>
      <c r="B201" s="47">
        <v>2</v>
      </c>
      <c r="C201" s="55">
        <v>2</v>
      </c>
      <c r="D201" s="57" t="s">
        <v>461</v>
      </c>
      <c r="E201" s="53" t="s">
        <v>1822</v>
      </c>
      <c r="F201" s="33" t="s">
        <v>1823</v>
      </c>
      <c r="G201" s="137" t="s">
        <v>1849</v>
      </c>
      <c r="H201" s="42" t="s">
        <v>1850</v>
      </c>
      <c r="I201" s="51" t="s">
        <v>236</v>
      </c>
      <c r="J201" s="65"/>
      <c r="K201" s="51"/>
      <c r="L201" s="97" t="s">
        <v>1825</v>
      </c>
      <c r="M201" s="51" t="s">
        <v>1826</v>
      </c>
    </row>
    <row r="202" spans="1:13">
      <c r="A202" s="95" t="s">
        <v>1851</v>
      </c>
      <c r="B202" s="47">
        <v>2</v>
      </c>
      <c r="C202" s="55">
        <v>2</v>
      </c>
      <c r="D202" s="57" t="s">
        <v>461</v>
      </c>
      <c r="E202" s="53" t="s">
        <v>1822</v>
      </c>
      <c r="F202" s="33" t="s">
        <v>1823</v>
      </c>
      <c r="G202" s="137" t="s">
        <v>1852</v>
      </c>
      <c r="H202" s="42" t="s">
        <v>1853</v>
      </c>
      <c r="I202" s="51" t="s">
        <v>236</v>
      </c>
      <c r="J202" s="65"/>
      <c r="K202" s="51"/>
      <c r="L202" s="97" t="s">
        <v>1825</v>
      </c>
      <c r="M202" s="51" t="s">
        <v>1854</v>
      </c>
    </row>
    <row r="203" spans="1:13">
      <c r="A203" s="95" t="s">
        <v>1855</v>
      </c>
      <c r="B203" s="47">
        <v>2</v>
      </c>
      <c r="C203" s="55">
        <v>2</v>
      </c>
      <c r="D203" s="57" t="s">
        <v>461</v>
      </c>
      <c r="E203" s="53" t="s">
        <v>1822</v>
      </c>
      <c r="F203" s="33" t="s">
        <v>1823</v>
      </c>
      <c r="G203" s="137" t="s">
        <v>1856</v>
      </c>
      <c r="H203" s="42" t="s">
        <v>1857</v>
      </c>
      <c r="I203" s="51" t="s">
        <v>236</v>
      </c>
      <c r="J203" s="65"/>
      <c r="K203" s="51"/>
      <c r="L203" s="97" t="s">
        <v>1825</v>
      </c>
      <c r="M203" s="51" t="s">
        <v>1826</v>
      </c>
    </row>
    <row r="204" spans="1:13">
      <c r="A204" s="95" t="s">
        <v>1858</v>
      </c>
      <c r="B204" s="47">
        <v>2</v>
      </c>
      <c r="C204" s="55">
        <v>2</v>
      </c>
      <c r="D204" s="57" t="s">
        <v>461</v>
      </c>
      <c r="E204" s="53" t="s">
        <v>1859</v>
      </c>
      <c r="F204" s="33" t="s">
        <v>1860</v>
      </c>
      <c r="G204" s="137" t="s">
        <v>1861</v>
      </c>
      <c r="H204" s="42" t="s">
        <v>405</v>
      </c>
      <c r="I204" s="51" t="s">
        <v>19</v>
      </c>
      <c r="J204" s="65"/>
      <c r="K204" s="51"/>
      <c r="L204" s="97" t="s">
        <v>1825</v>
      </c>
      <c r="M204" s="51" t="s">
        <v>1862</v>
      </c>
    </row>
    <row r="205" spans="1:13">
      <c r="A205" s="95" t="s">
        <v>1863</v>
      </c>
      <c r="B205" s="47">
        <v>2</v>
      </c>
      <c r="C205" s="55">
        <v>2</v>
      </c>
      <c r="D205" s="57" t="s">
        <v>461</v>
      </c>
      <c r="E205" s="53" t="s">
        <v>1859</v>
      </c>
      <c r="F205" s="33" t="s">
        <v>1864</v>
      </c>
      <c r="G205" s="137" t="s">
        <v>1865</v>
      </c>
      <c r="H205" s="42" t="s">
        <v>1866</v>
      </c>
      <c r="I205" s="51" t="s">
        <v>19</v>
      </c>
      <c r="J205" s="65"/>
      <c r="K205" s="51"/>
      <c r="L205" s="97" t="s">
        <v>1825</v>
      </c>
      <c r="M205" s="51" t="s">
        <v>1862</v>
      </c>
    </row>
    <row r="206" spans="1:13">
      <c r="A206" s="95" t="s">
        <v>1867</v>
      </c>
      <c r="B206" s="47">
        <v>2</v>
      </c>
      <c r="C206" s="55">
        <v>2</v>
      </c>
      <c r="D206" s="57" t="s">
        <v>461</v>
      </c>
      <c r="E206" s="53" t="s">
        <v>1859</v>
      </c>
      <c r="F206" s="33" t="s">
        <v>1868</v>
      </c>
      <c r="G206" s="137" t="s">
        <v>1869</v>
      </c>
      <c r="H206" s="42" t="s">
        <v>405</v>
      </c>
      <c r="I206" s="51" t="s">
        <v>19</v>
      </c>
      <c r="J206" s="65"/>
      <c r="K206" s="51"/>
      <c r="L206" s="97" t="s">
        <v>1825</v>
      </c>
      <c r="M206" s="51" t="s">
        <v>1862</v>
      </c>
    </row>
    <row r="207" spans="1:13">
      <c r="A207" s="95" t="s">
        <v>1870</v>
      </c>
      <c r="B207" s="47">
        <v>2</v>
      </c>
      <c r="C207" s="55">
        <v>2</v>
      </c>
      <c r="D207" s="57" t="s">
        <v>461</v>
      </c>
      <c r="E207" s="53" t="s">
        <v>1859</v>
      </c>
      <c r="F207" s="33" t="s">
        <v>1871</v>
      </c>
      <c r="G207" s="137" t="s">
        <v>1872</v>
      </c>
      <c r="H207" s="42" t="s">
        <v>1873</v>
      </c>
      <c r="I207" s="51" t="s">
        <v>19</v>
      </c>
      <c r="J207" s="65"/>
      <c r="K207" s="51"/>
      <c r="L207" s="97" t="s">
        <v>1825</v>
      </c>
      <c r="M207" s="51" t="s">
        <v>1862</v>
      </c>
    </row>
    <row r="208" spans="1:13">
      <c r="A208" s="95" t="s">
        <v>1874</v>
      </c>
      <c r="B208" s="47"/>
      <c r="C208" s="55">
        <v>2</v>
      </c>
      <c r="D208" s="57" t="s">
        <v>461</v>
      </c>
      <c r="E208" s="53" t="s">
        <v>595</v>
      </c>
      <c r="F208" s="35" t="s">
        <v>1875</v>
      </c>
      <c r="G208" s="136" t="s">
        <v>1876</v>
      </c>
      <c r="H208" s="42" t="s">
        <v>598</v>
      </c>
      <c r="I208" s="51" t="s">
        <v>19</v>
      </c>
      <c r="J208" s="65"/>
      <c r="K208" s="51" t="s">
        <v>20</v>
      </c>
      <c r="L208" s="69"/>
      <c r="M208" s="51" t="s">
        <v>57</v>
      </c>
    </row>
    <row r="209" spans="1:13">
      <c r="A209" s="95" t="s">
        <v>1877</v>
      </c>
      <c r="B209" s="47"/>
      <c r="C209" s="55">
        <v>3</v>
      </c>
      <c r="D209" s="57" t="s">
        <v>461</v>
      </c>
      <c r="E209" s="53" t="s">
        <v>1878</v>
      </c>
      <c r="F209" s="35" t="s">
        <v>1879</v>
      </c>
      <c r="G209" s="136" t="s">
        <v>1880</v>
      </c>
      <c r="H209" s="42" t="s">
        <v>1881</v>
      </c>
      <c r="I209" s="51" t="s">
        <v>19</v>
      </c>
      <c r="J209" s="65"/>
      <c r="K209" s="51" t="s">
        <v>20</v>
      </c>
      <c r="L209" s="69"/>
      <c r="M209" s="51" t="s">
        <v>57</v>
      </c>
    </row>
    <row r="210" spans="1:13">
      <c r="A210" s="95" t="s">
        <v>1882</v>
      </c>
      <c r="B210" s="47"/>
      <c r="C210" s="55">
        <v>2</v>
      </c>
      <c r="D210" s="57" t="s">
        <v>461</v>
      </c>
      <c r="E210" s="53" t="s">
        <v>1336</v>
      </c>
      <c r="F210" s="35" t="s">
        <v>1883</v>
      </c>
      <c r="G210" s="132" t="s">
        <v>1884</v>
      </c>
      <c r="H210" s="42" t="s">
        <v>405</v>
      </c>
      <c r="I210" s="51" t="s">
        <v>19</v>
      </c>
      <c r="J210" s="65"/>
      <c r="K210" s="51" t="s">
        <v>20</v>
      </c>
      <c r="L210" s="69"/>
      <c r="M210" s="51" t="s">
        <v>57</v>
      </c>
    </row>
    <row r="211" spans="1:13">
      <c r="A211" s="95" t="s">
        <v>1885</v>
      </c>
      <c r="B211" s="47"/>
      <c r="C211" s="55">
        <v>2</v>
      </c>
      <c r="D211" s="57" t="s">
        <v>461</v>
      </c>
      <c r="E211" s="53" t="s">
        <v>1336</v>
      </c>
      <c r="F211" s="35" t="s">
        <v>1886</v>
      </c>
      <c r="G211" s="136" t="s">
        <v>1887</v>
      </c>
      <c r="H211" s="42" t="s">
        <v>1888</v>
      </c>
      <c r="I211" s="51" t="s">
        <v>19</v>
      </c>
      <c r="J211" s="65"/>
      <c r="K211" s="51" t="s">
        <v>20</v>
      </c>
      <c r="L211" s="69"/>
      <c r="M211" s="51" t="s">
        <v>57</v>
      </c>
    </row>
    <row r="212" spans="1:13">
      <c r="A212" s="95" t="s">
        <v>1889</v>
      </c>
      <c r="B212" s="47"/>
      <c r="C212" s="55">
        <v>3</v>
      </c>
      <c r="D212" s="57" t="s">
        <v>461</v>
      </c>
      <c r="E212" s="53" t="s">
        <v>1890</v>
      </c>
      <c r="F212" s="33" t="s">
        <v>1891</v>
      </c>
      <c r="G212" s="137" t="s">
        <v>1892</v>
      </c>
      <c r="H212" s="42" t="s">
        <v>1893</v>
      </c>
      <c r="I212" s="51" t="s">
        <v>19</v>
      </c>
      <c r="J212" s="65"/>
      <c r="K212" s="51" t="s">
        <v>20</v>
      </c>
      <c r="L212" s="69"/>
      <c r="M212" s="51"/>
    </row>
    <row r="213" spans="1:13">
      <c r="A213" s="95" t="s">
        <v>1894</v>
      </c>
      <c r="B213" s="47"/>
      <c r="C213" s="55">
        <v>3</v>
      </c>
      <c r="D213" s="57" t="s">
        <v>461</v>
      </c>
      <c r="E213" s="53" t="s">
        <v>1890</v>
      </c>
      <c r="F213" s="33" t="s">
        <v>1895</v>
      </c>
      <c r="G213" s="137" t="s">
        <v>1896</v>
      </c>
      <c r="H213" s="42" t="s">
        <v>1897</v>
      </c>
      <c r="I213" s="51" t="s">
        <v>19</v>
      </c>
      <c r="J213" s="65"/>
      <c r="K213" s="51" t="s">
        <v>20</v>
      </c>
      <c r="L213" s="69"/>
      <c r="M213" s="51"/>
    </row>
    <row r="214" spans="1:13">
      <c r="A214" s="95" t="s">
        <v>1898</v>
      </c>
      <c r="B214" s="47"/>
      <c r="C214" s="55">
        <v>3</v>
      </c>
      <c r="D214" s="57" t="s">
        <v>461</v>
      </c>
      <c r="E214" s="53" t="s">
        <v>1890</v>
      </c>
      <c r="F214" s="33" t="s">
        <v>1899</v>
      </c>
      <c r="G214" s="137" t="s">
        <v>1900</v>
      </c>
      <c r="H214" s="42" t="s">
        <v>1901</v>
      </c>
      <c r="I214" s="51" t="s">
        <v>19</v>
      </c>
      <c r="J214" s="65"/>
      <c r="K214" s="51" t="s">
        <v>20</v>
      </c>
      <c r="L214" s="69"/>
      <c r="M214" s="51"/>
    </row>
    <row r="215" spans="1:13">
      <c r="A215" s="95" t="s">
        <v>1902</v>
      </c>
      <c r="B215" s="47"/>
      <c r="C215" s="55">
        <v>3</v>
      </c>
      <c r="D215" s="57" t="s">
        <v>461</v>
      </c>
      <c r="E215" s="53" t="s">
        <v>1890</v>
      </c>
      <c r="F215" s="33" t="s">
        <v>1903</v>
      </c>
      <c r="G215" s="137" t="s">
        <v>1904</v>
      </c>
      <c r="H215" s="42" t="s">
        <v>1905</v>
      </c>
      <c r="I215" s="51" t="s">
        <v>19</v>
      </c>
      <c r="J215" s="65"/>
      <c r="K215" s="51" t="s">
        <v>20</v>
      </c>
      <c r="L215" s="69"/>
      <c r="M215" s="51"/>
    </row>
    <row r="216" spans="1:13">
      <c r="A216" s="95" t="s">
        <v>1906</v>
      </c>
      <c r="B216" s="47"/>
      <c r="C216" s="55">
        <v>3</v>
      </c>
      <c r="D216" s="57" t="s">
        <v>461</v>
      </c>
      <c r="E216" s="53" t="s">
        <v>1890</v>
      </c>
      <c r="F216" s="33" t="s">
        <v>1907</v>
      </c>
      <c r="G216" s="137" t="s">
        <v>1908</v>
      </c>
      <c r="H216" s="42" t="s">
        <v>1909</v>
      </c>
      <c r="I216" s="51" t="s">
        <v>19</v>
      </c>
      <c r="J216" s="65"/>
      <c r="K216" s="51" t="s">
        <v>20</v>
      </c>
      <c r="L216" s="69"/>
      <c r="M216" s="51"/>
    </row>
    <row r="217" spans="1:13">
      <c r="A217" s="95" t="s">
        <v>1910</v>
      </c>
      <c r="B217" s="47"/>
      <c r="C217" s="55">
        <v>3</v>
      </c>
      <c r="D217" s="57" t="s">
        <v>461</v>
      </c>
      <c r="E217" s="53" t="s">
        <v>1890</v>
      </c>
      <c r="F217" s="33" t="s">
        <v>1911</v>
      </c>
      <c r="G217" s="137" t="s">
        <v>1912</v>
      </c>
      <c r="H217" s="42" t="s">
        <v>1789</v>
      </c>
      <c r="I217" s="51" t="s">
        <v>19</v>
      </c>
      <c r="J217" s="65"/>
      <c r="K217" s="51" t="s">
        <v>20</v>
      </c>
      <c r="L217" s="69"/>
      <c r="M217" s="51"/>
    </row>
    <row r="218" spans="1:13">
      <c r="A218" s="95" t="s">
        <v>1913</v>
      </c>
      <c r="B218" s="47"/>
      <c r="C218" s="55">
        <v>3</v>
      </c>
      <c r="D218" s="57" t="s">
        <v>461</v>
      </c>
      <c r="E218" s="53" t="s">
        <v>1890</v>
      </c>
      <c r="F218" s="33" t="s">
        <v>1914</v>
      </c>
      <c r="G218" s="137" t="s">
        <v>1915</v>
      </c>
      <c r="H218" s="42" t="s">
        <v>1916</v>
      </c>
      <c r="I218" s="51" t="s">
        <v>19</v>
      </c>
      <c r="J218" s="65"/>
      <c r="K218" s="51" t="s">
        <v>20</v>
      </c>
      <c r="L218" s="69"/>
      <c r="M218" s="51"/>
    </row>
    <row r="219" spans="1:13" ht="16" customHeight="1">
      <c r="A219" s="95" t="s">
        <v>1917</v>
      </c>
      <c r="B219" s="47">
        <v>1</v>
      </c>
      <c r="C219" s="55">
        <v>1</v>
      </c>
      <c r="D219" s="57" t="s">
        <v>600</v>
      </c>
      <c r="E219" s="53" t="s">
        <v>162</v>
      </c>
      <c r="F219" s="35" t="s">
        <v>1918</v>
      </c>
      <c r="G219" s="132" t="s">
        <v>1919</v>
      </c>
      <c r="H219" s="42" t="s">
        <v>1920</v>
      </c>
      <c r="I219" s="51" t="s">
        <v>19</v>
      </c>
      <c r="J219" s="65"/>
      <c r="K219" s="51" t="s">
        <v>20</v>
      </c>
      <c r="L219" s="72" t="s">
        <v>1921</v>
      </c>
      <c r="M219" s="51" t="s">
        <v>57</v>
      </c>
    </row>
    <row r="220" spans="1:13" ht="16" customHeight="1">
      <c r="A220" s="95" t="s">
        <v>1922</v>
      </c>
      <c r="B220" s="47">
        <v>3</v>
      </c>
      <c r="C220" s="55">
        <v>2</v>
      </c>
      <c r="D220" s="57" t="s">
        <v>600</v>
      </c>
      <c r="E220" s="53" t="s">
        <v>836</v>
      </c>
      <c r="F220" s="36" t="s">
        <v>1923</v>
      </c>
      <c r="G220" s="137" t="s">
        <v>1924</v>
      </c>
      <c r="H220" s="42" t="s">
        <v>1925</v>
      </c>
      <c r="I220" s="51" t="s">
        <v>19</v>
      </c>
      <c r="J220" s="65"/>
      <c r="K220" s="51" t="s">
        <v>20</v>
      </c>
      <c r="L220" s="72" t="s">
        <v>1921</v>
      </c>
      <c r="M220" s="51"/>
    </row>
    <row r="221" spans="1:13">
      <c r="A221" s="95" t="s">
        <v>1926</v>
      </c>
      <c r="B221" s="47">
        <v>2</v>
      </c>
      <c r="C221" s="55">
        <v>2</v>
      </c>
      <c r="D221" s="57" t="s">
        <v>600</v>
      </c>
      <c r="E221" s="53" t="s">
        <v>836</v>
      </c>
      <c r="F221" s="33" t="s">
        <v>1927</v>
      </c>
      <c r="G221" s="137" t="s">
        <v>1928</v>
      </c>
      <c r="H221" s="42" t="s">
        <v>1929</v>
      </c>
      <c r="I221" s="51" t="s">
        <v>19</v>
      </c>
      <c r="J221" s="65"/>
      <c r="K221" s="51" t="s">
        <v>20</v>
      </c>
      <c r="L221" s="71"/>
      <c r="M221" s="51"/>
    </row>
    <row r="222" spans="1:13">
      <c r="A222" s="95" t="s">
        <v>1930</v>
      </c>
      <c r="B222" s="47">
        <v>2</v>
      </c>
      <c r="C222" s="55">
        <v>2</v>
      </c>
      <c r="D222" s="57" t="s">
        <v>600</v>
      </c>
      <c r="E222" s="53" t="s">
        <v>836</v>
      </c>
      <c r="F222" s="35" t="s">
        <v>1931</v>
      </c>
      <c r="G222" s="132" t="s">
        <v>1932</v>
      </c>
      <c r="H222" s="42" t="s">
        <v>1933</v>
      </c>
      <c r="I222" s="51" t="s">
        <v>19</v>
      </c>
      <c r="J222" s="65"/>
      <c r="K222" s="51" t="s">
        <v>20</v>
      </c>
      <c r="L222" s="69"/>
      <c r="M222" s="51" t="s">
        <v>57</v>
      </c>
    </row>
    <row r="223" spans="1:13">
      <c r="A223" s="95" t="s">
        <v>1934</v>
      </c>
      <c r="B223" s="47"/>
      <c r="C223" s="55">
        <v>2</v>
      </c>
      <c r="D223" s="57" t="s">
        <v>600</v>
      </c>
      <c r="E223" s="53" t="s">
        <v>836</v>
      </c>
      <c r="F223" s="35" t="s">
        <v>1935</v>
      </c>
      <c r="G223" s="132" t="s">
        <v>1936</v>
      </c>
      <c r="H223" s="42" t="s">
        <v>1937</v>
      </c>
      <c r="I223" s="51" t="s">
        <v>19</v>
      </c>
      <c r="J223" s="65"/>
      <c r="K223" s="51" t="s">
        <v>20</v>
      </c>
      <c r="L223" s="69"/>
      <c r="M223" s="51" t="s">
        <v>57</v>
      </c>
    </row>
    <row r="224" spans="1:13">
      <c r="A224" s="95" t="s">
        <v>1938</v>
      </c>
      <c r="B224" s="47">
        <v>3</v>
      </c>
      <c r="C224" s="55">
        <v>3</v>
      </c>
      <c r="D224" s="57" t="s">
        <v>600</v>
      </c>
      <c r="E224" s="53" t="s">
        <v>836</v>
      </c>
      <c r="F224" s="33" t="s">
        <v>1939</v>
      </c>
      <c r="G224" s="137" t="s">
        <v>1940</v>
      </c>
      <c r="H224" s="29" t="s">
        <v>1941</v>
      </c>
      <c r="I224" s="51" t="s">
        <v>19</v>
      </c>
      <c r="J224" s="65"/>
      <c r="K224" s="51" t="s">
        <v>20</v>
      </c>
      <c r="L224" s="72" t="s">
        <v>1921</v>
      </c>
      <c r="M224" s="51"/>
    </row>
    <row r="225" spans="1:13">
      <c r="A225" s="95" t="s">
        <v>1942</v>
      </c>
      <c r="B225" s="47">
        <v>3</v>
      </c>
      <c r="C225" s="55">
        <v>3</v>
      </c>
      <c r="D225" s="57" t="s">
        <v>600</v>
      </c>
      <c r="E225" s="53" t="s">
        <v>836</v>
      </c>
      <c r="F225" s="33" t="s">
        <v>1939</v>
      </c>
      <c r="G225" s="141" t="s">
        <v>1943</v>
      </c>
      <c r="H225" s="29" t="s">
        <v>1944</v>
      </c>
      <c r="I225" s="51" t="s">
        <v>19</v>
      </c>
      <c r="J225" s="65"/>
      <c r="K225" s="51" t="s">
        <v>20</v>
      </c>
      <c r="L225" s="72" t="s">
        <v>1921</v>
      </c>
      <c r="M225" s="51"/>
    </row>
    <row r="226" spans="1:13">
      <c r="A226" s="95" t="s">
        <v>1945</v>
      </c>
      <c r="B226" s="47">
        <v>3</v>
      </c>
      <c r="C226" s="55">
        <v>3</v>
      </c>
      <c r="D226" s="57" t="s">
        <v>600</v>
      </c>
      <c r="E226" s="53" t="s">
        <v>836</v>
      </c>
      <c r="F226" s="33" t="s">
        <v>1939</v>
      </c>
      <c r="G226" s="137" t="s">
        <v>1946</v>
      </c>
      <c r="H226" s="42" t="s">
        <v>1947</v>
      </c>
      <c r="I226" s="51" t="s">
        <v>19</v>
      </c>
      <c r="J226" s="65"/>
      <c r="K226" s="51"/>
      <c r="L226" s="71"/>
      <c r="M226" s="51"/>
    </row>
    <row r="227" spans="1:13">
      <c r="A227" s="95" t="s">
        <v>1948</v>
      </c>
      <c r="B227" s="47">
        <v>3</v>
      </c>
      <c r="C227" s="55">
        <v>3</v>
      </c>
      <c r="D227" s="57" t="s">
        <v>600</v>
      </c>
      <c r="E227" s="53" t="s">
        <v>836</v>
      </c>
      <c r="F227" s="33" t="s">
        <v>1949</v>
      </c>
      <c r="G227" s="137" t="s">
        <v>1950</v>
      </c>
      <c r="H227" s="42" t="s">
        <v>18</v>
      </c>
      <c r="I227" s="51" t="s">
        <v>19</v>
      </c>
      <c r="J227" s="65"/>
      <c r="K227" s="51" t="s">
        <v>20</v>
      </c>
      <c r="L227" s="69"/>
      <c r="M227" s="51"/>
    </row>
    <row r="228" spans="1:13">
      <c r="A228" s="95" t="s">
        <v>1951</v>
      </c>
      <c r="B228" s="47">
        <v>3</v>
      </c>
      <c r="C228" s="55">
        <v>3</v>
      </c>
      <c r="D228" s="57" t="s">
        <v>600</v>
      </c>
      <c r="E228" s="53" t="s">
        <v>958</v>
      </c>
      <c r="F228" s="35" t="s">
        <v>1952</v>
      </c>
      <c r="G228" s="132" t="s">
        <v>1953</v>
      </c>
      <c r="H228" s="42" t="s">
        <v>1954</v>
      </c>
      <c r="I228" s="51" t="s">
        <v>19</v>
      </c>
      <c r="J228" s="65"/>
      <c r="K228" s="51" t="s">
        <v>20</v>
      </c>
      <c r="L228" s="69"/>
      <c r="M228" s="51" t="s">
        <v>57</v>
      </c>
    </row>
    <row r="229" spans="1:13">
      <c r="A229" s="95" t="s">
        <v>1955</v>
      </c>
      <c r="B229" s="47"/>
      <c r="C229" s="55">
        <v>2</v>
      </c>
      <c r="D229" s="57" t="s">
        <v>600</v>
      </c>
      <c r="E229" s="53" t="s">
        <v>958</v>
      </c>
      <c r="F229" s="35" t="s">
        <v>1956</v>
      </c>
      <c r="G229" s="132" t="s">
        <v>1957</v>
      </c>
      <c r="H229" s="42" t="s">
        <v>1958</v>
      </c>
      <c r="I229" s="51" t="s">
        <v>19</v>
      </c>
      <c r="J229" s="65"/>
      <c r="K229" s="51" t="s">
        <v>20</v>
      </c>
      <c r="L229" s="69"/>
      <c r="M229" s="51" t="s">
        <v>57</v>
      </c>
    </row>
    <row r="230" spans="1:13">
      <c r="A230" s="95" t="s">
        <v>1959</v>
      </c>
      <c r="B230" s="47"/>
      <c r="C230" s="55">
        <v>3</v>
      </c>
      <c r="D230" s="57" t="s">
        <v>600</v>
      </c>
      <c r="E230" s="53" t="s">
        <v>958</v>
      </c>
      <c r="F230" s="33" t="s">
        <v>1960</v>
      </c>
      <c r="G230" s="137" t="s">
        <v>1961</v>
      </c>
      <c r="H230" s="42" t="s">
        <v>1962</v>
      </c>
      <c r="I230" s="51" t="s">
        <v>19</v>
      </c>
      <c r="J230" s="65"/>
      <c r="K230" s="51" t="s">
        <v>20</v>
      </c>
      <c r="L230" s="69"/>
      <c r="M230" s="51"/>
    </row>
    <row r="231" spans="1:13">
      <c r="A231" s="95" t="s">
        <v>1963</v>
      </c>
      <c r="B231" s="47">
        <v>1</v>
      </c>
      <c r="C231" s="55">
        <v>1</v>
      </c>
      <c r="D231" s="57" t="s">
        <v>600</v>
      </c>
      <c r="E231" s="53" t="s">
        <v>616</v>
      </c>
      <c r="F231" s="35" t="s">
        <v>1964</v>
      </c>
      <c r="G231" s="142" t="s">
        <v>1965</v>
      </c>
      <c r="H231" s="46" t="s">
        <v>1966</v>
      </c>
      <c r="I231" s="51" t="s">
        <v>19</v>
      </c>
      <c r="J231" s="65"/>
      <c r="K231" s="51" t="s">
        <v>88</v>
      </c>
      <c r="L231" s="72" t="s">
        <v>1921</v>
      </c>
      <c r="M231" s="51" t="s">
        <v>1967</v>
      </c>
    </row>
    <row r="232" spans="1:13">
      <c r="A232" s="95" t="s">
        <v>1968</v>
      </c>
      <c r="B232" s="47"/>
      <c r="C232" s="55">
        <v>1</v>
      </c>
      <c r="D232" s="57" t="s">
        <v>600</v>
      </c>
      <c r="E232" s="53" t="s">
        <v>616</v>
      </c>
      <c r="F232" s="35" t="s">
        <v>1964</v>
      </c>
      <c r="G232" s="142" t="s">
        <v>1969</v>
      </c>
      <c r="H232" s="46" t="s">
        <v>1970</v>
      </c>
      <c r="I232" s="51" t="s">
        <v>19</v>
      </c>
      <c r="J232" s="65"/>
      <c r="K232" s="51" t="s">
        <v>20</v>
      </c>
      <c r="L232" s="72" t="s">
        <v>1921</v>
      </c>
      <c r="M232" s="51" t="s">
        <v>1971</v>
      </c>
    </row>
    <row r="233" spans="1:13">
      <c r="A233" s="95" t="s">
        <v>1972</v>
      </c>
      <c r="B233" s="47">
        <v>2</v>
      </c>
      <c r="C233" s="55">
        <v>2</v>
      </c>
      <c r="D233" s="57" t="s">
        <v>600</v>
      </c>
      <c r="E233" s="53" t="s">
        <v>616</v>
      </c>
      <c r="F233" s="35" t="s">
        <v>1973</v>
      </c>
      <c r="G233" s="132" t="s">
        <v>1974</v>
      </c>
      <c r="H233" s="42" t="s">
        <v>1975</v>
      </c>
      <c r="I233" s="51" t="s">
        <v>19</v>
      </c>
      <c r="J233" s="65"/>
      <c r="K233" s="51" t="s">
        <v>88</v>
      </c>
      <c r="L233" s="69"/>
      <c r="M233" s="51" t="s">
        <v>57</v>
      </c>
    </row>
    <row r="234" spans="1:13">
      <c r="A234" s="95" t="s">
        <v>1976</v>
      </c>
      <c r="B234" s="47">
        <v>2</v>
      </c>
      <c r="C234" s="55">
        <v>2</v>
      </c>
      <c r="D234" s="57" t="s">
        <v>600</v>
      </c>
      <c r="E234" s="53" t="s">
        <v>616</v>
      </c>
      <c r="F234" s="35" t="s">
        <v>1977</v>
      </c>
      <c r="G234" s="132" t="s">
        <v>1978</v>
      </c>
      <c r="H234" s="42" t="s">
        <v>1975</v>
      </c>
      <c r="I234" s="51" t="s">
        <v>19</v>
      </c>
      <c r="J234" s="65"/>
      <c r="K234" s="51" t="s">
        <v>88</v>
      </c>
      <c r="L234" s="69"/>
      <c r="M234" s="51" t="s">
        <v>57</v>
      </c>
    </row>
    <row r="235" spans="1:13">
      <c r="A235" s="95" t="s">
        <v>1979</v>
      </c>
      <c r="B235" s="47"/>
      <c r="C235" s="55">
        <v>3</v>
      </c>
      <c r="D235" s="57" t="s">
        <v>600</v>
      </c>
      <c r="E235" s="53" t="s">
        <v>1140</v>
      </c>
      <c r="F235" s="33" t="s">
        <v>1980</v>
      </c>
      <c r="G235" s="137" t="s">
        <v>1981</v>
      </c>
      <c r="H235" s="42" t="s">
        <v>18</v>
      </c>
      <c r="I235" s="51" t="s">
        <v>19</v>
      </c>
      <c r="J235" s="65"/>
      <c r="K235" s="51" t="s">
        <v>20</v>
      </c>
      <c r="L235" s="69"/>
      <c r="M235" s="51"/>
    </row>
    <row r="236" spans="1:13">
      <c r="A236" s="95" t="s">
        <v>1982</v>
      </c>
      <c r="B236" s="47">
        <v>2</v>
      </c>
      <c r="C236" s="55">
        <v>2</v>
      </c>
      <c r="D236" s="57" t="s">
        <v>600</v>
      </c>
      <c r="E236" s="53" t="s">
        <v>1140</v>
      </c>
      <c r="F236" s="33" t="s">
        <v>1983</v>
      </c>
      <c r="G236" s="137" t="s">
        <v>1984</v>
      </c>
      <c r="H236" s="42" t="s">
        <v>18</v>
      </c>
      <c r="I236" s="51" t="s">
        <v>19</v>
      </c>
      <c r="J236" s="65"/>
      <c r="K236" s="51" t="s">
        <v>20</v>
      </c>
      <c r="L236" s="69"/>
      <c r="M236" s="51"/>
    </row>
    <row r="237" spans="1:13">
      <c r="A237" s="95" t="s">
        <v>1985</v>
      </c>
      <c r="B237" s="47">
        <v>2</v>
      </c>
      <c r="C237" s="55">
        <v>2</v>
      </c>
      <c r="D237" s="57" t="s">
        <v>600</v>
      </c>
      <c r="E237" s="53" t="s">
        <v>1140</v>
      </c>
      <c r="F237" s="33" t="s">
        <v>1986</v>
      </c>
      <c r="G237" s="143" t="s">
        <v>1987</v>
      </c>
      <c r="H237" s="46" t="s">
        <v>1988</v>
      </c>
      <c r="I237" s="51" t="s">
        <v>19</v>
      </c>
      <c r="J237" s="65"/>
      <c r="K237" s="51" t="s">
        <v>20</v>
      </c>
      <c r="L237" s="72" t="s">
        <v>1921</v>
      </c>
      <c r="M237" s="51"/>
    </row>
    <row r="238" spans="1:13">
      <c r="A238" s="95" t="s">
        <v>1989</v>
      </c>
      <c r="B238" s="47"/>
      <c r="C238" s="55">
        <v>3</v>
      </c>
      <c r="D238" s="57" t="s">
        <v>600</v>
      </c>
      <c r="E238" s="53" t="s">
        <v>1990</v>
      </c>
      <c r="F238" s="33" t="s">
        <v>1991</v>
      </c>
      <c r="G238" s="143" t="s">
        <v>1992</v>
      </c>
      <c r="H238" s="46" t="s">
        <v>1993</v>
      </c>
      <c r="I238" s="51" t="s">
        <v>19</v>
      </c>
      <c r="J238" s="65"/>
      <c r="K238" s="51" t="s">
        <v>20</v>
      </c>
      <c r="L238" s="72" t="s">
        <v>1921</v>
      </c>
      <c r="M238" s="51"/>
    </row>
    <row r="239" spans="1:13">
      <c r="A239" s="95" t="s">
        <v>1994</v>
      </c>
      <c r="B239" s="47"/>
      <c r="C239" s="55">
        <v>3</v>
      </c>
      <c r="D239" s="57" t="s">
        <v>600</v>
      </c>
      <c r="E239" s="53" t="s">
        <v>1990</v>
      </c>
      <c r="F239" s="33" t="s">
        <v>1995</v>
      </c>
      <c r="G239" s="137" t="s">
        <v>1996</v>
      </c>
      <c r="H239" s="42" t="s">
        <v>1997</v>
      </c>
      <c r="I239" s="51" t="s">
        <v>19</v>
      </c>
      <c r="J239" s="65"/>
      <c r="K239" s="51" t="s">
        <v>20</v>
      </c>
      <c r="L239" s="69"/>
      <c r="M239" s="51"/>
    </row>
    <row r="240" spans="1:13">
      <c r="A240" s="95" t="s">
        <v>1998</v>
      </c>
      <c r="B240" s="47"/>
      <c r="C240" s="55">
        <v>3</v>
      </c>
      <c r="D240" s="57" t="s">
        <v>600</v>
      </c>
      <c r="E240" s="53" t="s">
        <v>351</v>
      </c>
      <c r="F240" s="33" t="s">
        <v>1999</v>
      </c>
      <c r="G240" s="137" t="s">
        <v>2000</v>
      </c>
      <c r="H240" s="42" t="s">
        <v>18</v>
      </c>
      <c r="I240" s="51" t="s">
        <v>19</v>
      </c>
      <c r="J240" s="65"/>
      <c r="K240" s="51" t="s">
        <v>20</v>
      </c>
      <c r="L240" s="69"/>
      <c r="M240" s="51"/>
    </row>
    <row r="241" spans="1:13">
      <c r="A241" s="95" t="s">
        <v>2001</v>
      </c>
      <c r="B241" s="47">
        <v>3</v>
      </c>
      <c r="C241" s="55">
        <v>3</v>
      </c>
      <c r="D241" s="57" t="s">
        <v>600</v>
      </c>
      <c r="E241" s="53" t="s">
        <v>351</v>
      </c>
      <c r="F241" s="33" t="s">
        <v>2002</v>
      </c>
      <c r="G241" s="137" t="s">
        <v>2003</v>
      </c>
      <c r="H241" s="42" t="s">
        <v>18</v>
      </c>
      <c r="I241" s="51" t="s">
        <v>19</v>
      </c>
      <c r="J241" s="65"/>
      <c r="K241" s="51" t="s">
        <v>20</v>
      </c>
      <c r="L241" s="69"/>
      <c r="M241" s="51"/>
    </row>
    <row r="242" spans="1:13">
      <c r="A242" s="95" t="s">
        <v>2004</v>
      </c>
      <c r="B242" s="47">
        <v>3</v>
      </c>
      <c r="C242" s="55">
        <v>3</v>
      </c>
      <c r="D242" s="57" t="s">
        <v>600</v>
      </c>
      <c r="E242" s="53" t="s">
        <v>351</v>
      </c>
      <c r="F242" s="33" t="s">
        <v>2005</v>
      </c>
      <c r="G242" s="137" t="s">
        <v>2006</v>
      </c>
      <c r="H242" s="42" t="s">
        <v>18</v>
      </c>
      <c r="I242" s="51" t="s">
        <v>19</v>
      </c>
      <c r="J242" s="65"/>
      <c r="K242" s="51" t="s">
        <v>20</v>
      </c>
      <c r="L242" s="69"/>
      <c r="M242" s="51"/>
    </row>
    <row r="243" spans="1:13">
      <c r="A243" s="95" t="s">
        <v>2007</v>
      </c>
      <c r="B243" s="47">
        <v>3</v>
      </c>
      <c r="C243" s="55">
        <v>3</v>
      </c>
      <c r="D243" s="57" t="s">
        <v>600</v>
      </c>
      <c r="E243" s="53" t="s">
        <v>351</v>
      </c>
      <c r="F243" s="33" t="s">
        <v>2008</v>
      </c>
      <c r="G243" s="137" t="s">
        <v>2009</v>
      </c>
      <c r="H243" s="46" t="s">
        <v>2010</v>
      </c>
      <c r="I243" s="51" t="s">
        <v>19</v>
      </c>
      <c r="J243" s="65"/>
      <c r="K243" s="51" t="s">
        <v>20</v>
      </c>
      <c r="L243" s="72" t="s">
        <v>1921</v>
      </c>
      <c r="M243" s="51"/>
    </row>
    <row r="244" spans="1:13">
      <c r="A244" s="95" t="s">
        <v>2011</v>
      </c>
      <c r="B244" s="47"/>
      <c r="C244" s="55">
        <v>3</v>
      </c>
      <c r="D244" s="57" t="s">
        <v>600</v>
      </c>
      <c r="E244" s="53" t="s">
        <v>351</v>
      </c>
      <c r="F244" s="33" t="s">
        <v>2012</v>
      </c>
      <c r="G244" s="137" t="s">
        <v>2013</v>
      </c>
      <c r="H244" s="42" t="s">
        <v>2014</v>
      </c>
      <c r="I244" s="51" t="s">
        <v>19</v>
      </c>
      <c r="J244" s="65"/>
      <c r="K244" s="51" t="s">
        <v>20</v>
      </c>
      <c r="L244" s="69"/>
      <c r="M244" s="51"/>
    </row>
    <row r="245" spans="1:13">
      <c r="A245" s="95" t="s">
        <v>2015</v>
      </c>
      <c r="C245" s="55">
        <v>2</v>
      </c>
      <c r="D245" s="57" t="s">
        <v>600</v>
      </c>
      <c r="E245" s="53" t="s">
        <v>2016</v>
      </c>
      <c r="F245" s="33" t="s">
        <v>2017</v>
      </c>
      <c r="G245" s="137" t="s">
        <v>2018</v>
      </c>
      <c r="H245" s="42" t="s">
        <v>18</v>
      </c>
      <c r="I245" s="23" t="s">
        <v>19</v>
      </c>
    </row>
    <row r="246" spans="1:13">
      <c r="A246" s="95" t="s">
        <v>2019</v>
      </c>
      <c r="B246" s="47"/>
      <c r="C246" s="55">
        <v>3</v>
      </c>
      <c r="D246" s="57" t="s">
        <v>600</v>
      </c>
      <c r="E246" s="53" t="s">
        <v>2016</v>
      </c>
      <c r="F246" s="33" t="s">
        <v>2017</v>
      </c>
      <c r="G246" s="137" t="s">
        <v>2020</v>
      </c>
      <c r="H246" s="42" t="s">
        <v>2021</v>
      </c>
      <c r="I246" s="51" t="s">
        <v>19</v>
      </c>
      <c r="J246" s="65"/>
      <c r="K246" s="51"/>
      <c r="L246" s="69"/>
      <c r="M246" s="51"/>
    </row>
    <row r="247" spans="1:13">
      <c r="A247" s="95" t="s">
        <v>2022</v>
      </c>
      <c r="B247" s="47"/>
      <c r="C247" s="55">
        <v>3</v>
      </c>
      <c r="D247" s="57" t="s">
        <v>600</v>
      </c>
      <c r="E247" s="53" t="s">
        <v>2016</v>
      </c>
      <c r="F247" s="33" t="s">
        <v>2017</v>
      </c>
      <c r="G247" s="137" t="s">
        <v>2023</v>
      </c>
      <c r="H247" s="42" t="s">
        <v>2024</v>
      </c>
      <c r="I247" s="51" t="s">
        <v>19</v>
      </c>
      <c r="J247" s="65"/>
      <c r="K247" s="51"/>
      <c r="L247" s="69"/>
      <c r="M247" s="51"/>
    </row>
    <row r="248" spans="1:13">
      <c r="A248" s="95" t="s">
        <v>2025</v>
      </c>
      <c r="B248" s="47"/>
      <c r="C248" s="55">
        <v>3</v>
      </c>
      <c r="D248" s="57" t="s">
        <v>600</v>
      </c>
      <c r="E248" s="53" t="s">
        <v>2016</v>
      </c>
      <c r="F248" s="33" t="s">
        <v>2017</v>
      </c>
      <c r="G248" s="137" t="s">
        <v>2026</v>
      </c>
      <c r="H248" s="42" t="s">
        <v>2027</v>
      </c>
      <c r="I248" s="51" t="s">
        <v>19</v>
      </c>
      <c r="J248" s="65"/>
      <c r="K248" s="51"/>
      <c r="L248" s="69"/>
      <c r="M248" s="51"/>
    </row>
    <row r="249" spans="1:13">
      <c r="A249" s="95" t="s">
        <v>2028</v>
      </c>
      <c r="B249" s="47"/>
      <c r="C249" s="55">
        <v>3</v>
      </c>
      <c r="D249" s="57" t="s">
        <v>600</v>
      </c>
      <c r="E249" s="53" t="s">
        <v>2029</v>
      </c>
      <c r="F249" s="33" t="s">
        <v>2030</v>
      </c>
      <c r="G249" s="137" t="s">
        <v>2031</v>
      </c>
      <c r="H249" s="42" t="s">
        <v>2032</v>
      </c>
      <c r="I249" s="51" t="s">
        <v>19</v>
      </c>
      <c r="J249" s="65"/>
      <c r="K249" s="51" t="s">
        <v>20</v>
      </c>
      <c r="L249" s="69"/>
      <c r="M249" s="51"/>
    </row>
    <row r="250" spans="1:13">
      <c r="A250" s="95" t="s">
        <v>2033</v>
      </c>
      <c r="B250" s="47">
        <v>3</v>
      </c>
      <c r="C250" s="55">
        <v>3</v>
      </c>
      <c r="D250" s="57" t="s">
        <v>600</v>
      </c>
      <c r="E250" s="53" t="s">
        <v>2029</v>
      </c>
      <c r="F250" s="35" t="s">
        <v>2034</v>
      </c>
      <c r="G250" s="132" t="s">
        <v>2035</v>
      </c>
      <c r="H250" s="111" t="s">
        <v>2036</v>
      </c>
      <c r="I250" s="51" t="s">
        <v>19</v>
      </c>
      <c r="J250" s="65"/>
      <c r="K250" s="51" t="s">
        <v>20</v>
      </c>
      <c r="L250" s="69"/>
      <c r="M250" s="51" t="s">
        <v>57</v>
      </c>
    </row>
    <row r="251" spans="1:13">
      <c r="A251" s="95" t="s">
        <v>2037</v>
      </c>
      <c r="B251" s="47">
        <v>3</v>
      </c>
      <c r="C251" s="55">
        <v>3</v>
      </c>
      <c r="D251" s="57" t="s">
        <v>346</v>
      </c>
      <c r="E251" s="53" t="s">
        <v>232</v>
      </c>
      <c r="F251" s="34" t="s">
        <v>2038</v>
      </c>
      <c r="G251" s="137" t="s">
        <v>2039</v>
      </c>
      <c r="H251" s="44" t="s">
        <v>157</v>
      </c>
      <c r="I251" s="51" t="s">
        <v>236</v>
      </c>
      <c r="J251" s="65"/>
      <c r="K251" s="51" t="s">
        <v>20</v>
      </c>
      <c r="L251" s="69"/>
      <c r="M251" s="51"/>
    </row>
    <row r="252" spans="1:13">
      <c r="A252" s="95" t="s">
        <v>2040</v>
      </c>
      <c r="B252" s="48">
        <v>2</v>
      </c>
      <c r="C252" s="55">
        <v>2</v>
      </c>
      <c r="D252" s="57" t="s">
        <v>785</v>
      </c>
      <c r="E252" s="53" t="s">
        <v>836</v>
      </c>
      <c r="F252" s="33" t="s">
        <v>2041</v>
      </c>
      <c r="G252" s="130" t="s">
        <v>2042</v>
      </c>
      <c r="H252" s="42" t="s">
        <v>2043</v>
      </c>
      <c r="I252" s="51" t="s">
        <v>19</v>
      </c>
      <c r="J252" s="65"/>
      <c r="K252" s="51" t="s">
        <v>20</v>
      </c>
      <c r="L252" s="70"/>
      <c r="M252" s="51"/>
    </row>
    <row r="253" spans="1:13">
      <c r="A253" s="95" t="s">
        <v>2044</v>
      </c>
      <c r="B253" s="47">
        <v>2</v>
      </c>
      <c r="C253" s="55">
        <v>2</v>
      </c>
      <c r="D253" s="57" t="s">
        <v>785</v>
      </c>
      <c r="E253" s="53" t="s">
        <v>836</v>
      </c>
      <c r="F253" s="33" t="s">
        <v>2045</v>
      </c>
      <c r="G253" s="130" t="s">
        <v>2046</v>
      </c>
      <c r="H253" s="42" t="s">
        <v>2047</v>
      </c>
      <c r="I253" s="51" t="s">
        <v>19</v>
      </c>
      <c r="J253" s="65"/>
      <c r="K253" s="51" t="s">
        <v>20</v>
      </c>
      <c r="L253" s="70"/>
      <c r="M253" s="51"/>
    </row>
    <row r="254" spans="1:13">
      <c r="A254" s="95" t="s">
        <v>2048</v>
      </c>
      <c r="B254" s="47"/>
      <c r="C254" s="55">
        <v>2</v>
      </c>
      <c r="D254" s="57" t="s">
        <v>785</v>
      </c>
      <c r="E254" s="53" t="s">
        <v>836</v>
      </c>
      <c r="F254" s="33" t="s">
        <v>2049</v>
      </c>
      <c r="G254" s="130" t="s">
        <v>2050</v>
      </c>
      <c r="H254" s="42" t="s">
        <v>2051</v>
      </c>
      <c r="I254" s="51" t="s">
        <v>19</v>
      </c>
      <c r="J254" s="65"/>
      <c r="K254" s="51" t="s">
        <v>20</v>
      </c>
      <c r="L254" s="70"/>
      <c r="M254" s="51"/>
    </row>
    <row r="255" spans="1:13">
      <c r="A255" s="95" t="s">
        <v>2052</v>
      </c>
      <c r="B255" s="47"/>
      <c r="C255" s="55">
        <v>3</v>
      </c>
      <c r="D255" s="57" t="s">
        <v>785</v>
      </c>
      <c r="E255" s="53" t="s">
        <v>1140</v>
      </c>
      <c r="F255" s="33" t="s">
        <v>2053</v>
      </c>
      <c r="G255" s="130" t="s">
        <v>2054</v>
      </c>
      <c r="H255" s="42" t="s">
        <v>2055</v>
      </c>
      <c r="I255" s="51" t="s">
        <v>19</v>
      </c>
      <c r="J255" s="65"/>
      <c r="K255" s="51" t="s">
        <v>20</v>
      </c>
      <c r="L255" s="70"/>
      <c r="M255" s="51"/>
    </row>
    <row r="256" spans="1:13">
      <c r="A256" s="95" t="s">
        <v>2056</v>
      </c>
      <c r="B256" s="47"/>
      <c r="C256" s="55">
        <v>3</v>
      </c>
      <c r="D256" s="57" t="s">
        <v>785</v>
      </c>
      <c r="E256" s="53" t="s">
        <v>1140</v>
      </c>
      <c r="F256" s="35" t="s">
        <v>2057</v>
      </c>
      <c r="G256" s="133" t="s">
        <v>2058</v>
      </c>
      <c r="H256" s="42" t="s">
        <v>2059</v>
      </c>
      <c r="I256" s="51" t="s">
        <v>19</v>
      </c>
      <c r="J256" s="65"/>
      <c r="K256" s="51" t="s">
        <v>20</v>
      </c>
      <c r="L256" s="70"/>
      <c r="M256" s="51" t="s">
        <v>57</v>
      </c>
    </row>
    <row r="257" spans="1:13">
      <c r="A257" s="95" t="s">
        <v>2060</v>
      </c>
      <c r="B257" s="48">
        <v>2</v>
      </c>
      <c r="C257" s="55">
        <v>3</v>
      </c>
      <c r="D257" s="57" t="s">
        <v>785</v>
      </c>
      <c r="E257" s="53" t="s">
        <v>876</v>
      </c>
      <c r="F257" s="33" t="s">
        <v>2061</v>
      </c>
      <c r="G257" s="130" t="s">
        <v>2062</v>
      </c>
      <c r="H257" s="42" t="s">
        <v>895</v>
      </c>
      <c r="I257" s="51" t="s">
        <v>19</v>
      </c>
      <c r="J257" s="65"/>
      <c r="K257" s="51" t="s">
        <v>20</v>
      </c>
      <c r="L257" s="70"/>
      <c r="M257" s="51"/>
    </row>
    <row r="258" spans="1:13">
      <c r="A258" s="95" t="s">
        <v>2063</v>
      </c>
      <c r="B258" s="47"/>
      <c r="C258" s="55">
        <v>3</v>
      </c>
      <c r="D258" s="57" t="s">
        <v>785</v>
      </c>
      <c r="E258" s="53" t="s">
        <v>2064</v>
      </c>
      <c r="F258" s="33" t="s">
        <v>2065</v>
      </c>
      <c r="G258" s="130" t="s">
        <v>2066</v>
      </c>
      <c r="H258" s="42" t="s">
        <v>18</v>
      </c>
      <c r="I258" s="51" t="s">
        <v>19</v>
      </c>
      <c r="J258" s="65"/>
      <c r="K258" s="51" t="s">
        <v>20</v>
      </c>
      <c r="L258" s="70"/>
      <c r="M258" s="51"/>
    </row>
    <row r="259" spans="1:13">
      <c r="A259" s="95" t="s">
        <v>2067</v>
      </c>
      <c r="B259" s="47"/>
      <c r="C259" s="55">
        <v>3</v>
      </c>
      <c r="D259" s="57" t="s">
        <v>785</v>
      </c>
      <c r="E259" s="53" t="s">
        <v>2064</v>
      </c>
      <c r="F259" s="33" t="s">
        <v>2068</v>
      </c>
      <c r="G259" s="130" t="s">
        <v>2069</v>
      </c>
      <c r="H259" s="42" t="s">
        <v>18</v>
      </c>
      <c r="I259" s="51" t="s">
        <v>19</v>
      </c>
      <c r="J259" s="65"/>
      <c r="K259" s="51" t="s">
        <v>20</v>
      </c>
      <c r="L259" s="70"/>
      <c r="M259" s="51"/>
    </row>
    <row r="260" spans="1:13">
      <c r="A260" s="95" t="s">
        <v>2070</v>
      </c>
      <c r="B260" s="47"/>
      <c r="C260" s="55">
        <v>3</v>
      </c>
      <c r="D260" s="57" t="s">
        <v>785</v>
      </c>
      <c r="E260" s="53" t="s">
        <v>2064</v>
      </c>
      <c r="F260" s="33" t="s">
        <v>2071</v>
      </c>
      <c r="G260" s="131" t="s">
        <v>2072</v>
      </c>
      <c r="H260" s="42" t="s">
        <v>18</v>
      </c>
      <c r="I260" s="51" t="s">
        <v>19</v>
      </c>
      <c r="J260" s="65"/>
      <c r="K260" s="51" t="s">
        <v>20</v>
      </c>
      <c r="L260" s="70"/>
      <c r="M260" s="51"/>
    </row>
    <row r="261" spans="1:13">
      <c r="A261" s="95" t="s">
        <v>2073</v>
      </c>
      <c r="B261" s="47"/>
      <c r="C261" s="55">
        <v>3</v>
      </c>
      <c r="D261" s="57" t="s">
        <v>785</v>
      </c>
      <c r="E261" s="53" t="s">
        <v>2064</v>
      </c>
      <c r="F261" s="33" t="s">
        <v>2074</v>
      </c>
      <c r="G261" s="131" t="s">
        <v>2075</v>
      </c>
      <c r="H261" s="42" t="s">
        <v>2076</v>
      </c>
      <c r="I261" s="51" t="s">
        <v>19</v>
      </c>
      <c r="J261" s="65"/>
      <c r="K261" s="51" t="s">
        <v>20</v>
      </c>
      <c r="L261" s="70"/>
      <c r="M261" s="51"/>
    </row>
    <row r="262" spans="1:13">
      <c r="A262" s="95" t="s">
        <v>2077</v>
      </c>
      <c r="B262" s="47"/>
      <c r="C262" s="55">
        <v>3</v>
      </c>
      <c r="D262" s="57" t="s">
        <v>785</v>
      </c>
      <c r="E262" s="53" t="s">
        <v>2064</v>
      </c>
      <c r="F262" s="33" t="s">
        <v>2078</v>
      </c>
      <c r="G262" s="131" t="s">
        <v>2079</v>
      </c>
      <c r="H262" s="42" t="s">
        <v>2080</v>
      </c>
      <c r="I262" s="51" t="s">
        <v>19</v>
      </c>
      <c r="J262" s="65"/>
      <c r="K262" s="51" t="s">
        <v>20</v>
      </c>
      <c r="L262" s="70"/>
      <c r="M262" s="51"/>
    </row>
    <row r="263" spans="1:13">
      <c r="A263" s="95" t="s">
        <v>2081</v>
      </c>
      <c r="B263" s="47">
        <v>1</v>
      </c>
      <c r="C263" s="55">
        <v>2</v>
      </c>
      <c r="D263" s="57" t="s">
        <v>785</v>
      </c>
      <c r="E263" s="53" t="s">
        <v>1227</v>
      </c>
      <c r="F263" s="33" t="s">
        <v>2082</v>
      </c>
      <c r="G263" s="131" t="s">
        <v>2083</v>
      </c>
      <c r="H263" s="42" t="s">
        <v>18</v>
      </c>
      <c r="I263" s="51" t="s">
        <v>19</v>
      </c>
      <c r="J263" s="65"/>
      <c r="K263" s="51" t="s">
        <v>20</v>
      </c>
      <c r="L263" s="70"/>
      <c r="M263" s="51" t="s">
        <v>1529</v>
      </c>
    </row>
    <row r="264" spans="1:13">
      <c r="A264" s="95" t="s">
        <v>2084</v>
      </c>
      <c r="B264" s="47">
        <v>1</v>
      </c>
      <c r="C264" s="55">
        <v>2</v>
      </c>
      <c r="D264" s="57" t="s">
        <v>785</v>
      </c>
      <c r="E264" s="53" t="s">
        <v>1227</v>
      </c>
      <c r="F264" s="33" t="s">
        <v>2085</v>
      </c>
      <c r="G264" s="131" t="s">
        <v>2086</v>
      </c>
      <c r="H264" s="42" t="s">
        <v>18</v>
      </c>
      <c r="I264" s="51" t="s">
        <v>19</v>
      </c>
      <c r="J264" s="65"/>
      <c r="K264" s="51" t="s">
        <v>20</v>
      </c>
      <c r="L264" s="70"/>
      <c r="M264" s="51" t="s">
        <v>1529</v>
      </c>
    </row>
    <row r="265" spans="1:13">
      <c r="A265" s="95" t="s">
        <v>2087</v>
      </c>
      <c r="B265" s="47">
        <v>2</v>
      </c>
      <c r="C265" s="55">
        <v>2</v>
      </c>
      <c r="D265" s="57" t="s">
        <v>785</v>
      </c>
      <c r="E265" s="53" t="s">
        <v>1227</v>
      </c>
      <c r="F265" s="33" t="s">
        <v>2088</v>
      </c>
      <c r="G265" s="131" t="s">
        <v>2089</v>
      </c>
      <c r="H265" s="42" t="s">
        <v>18</v>
      </c>
      <c r="I265" s="51" t="s">
        <v>19</v>
      </c>
      <c r="J265" s="65"/>
      <c r="K265" s="51" t="s">
        <v>20</v>
      </c>
      <c r="L265" s="70"/>
      <c r="M265" s="51" t="s">
        <v>1529</v>
      </c>
    </row>
    <row r="266" spans="1:13">
      <c r="A266" s="95" t="s">
        <v>2090</v>
      </c>
      <c r="B266" s="47">
        <v>2</v>
      </c>
      <c r="C266" s="55">
        <v>2</v>
      </c>
      <c r="D266" s="57" t="s">
        <v>785</v>
      </c>
      <c r="E266" s="53" t="s">
        <v>1227</v>
      </c>
      <c r="F266" s="35" t="s">
        <v>2091</v>
      </c>
      <c r="G266" s="136" t="s">
        <v>2092</v>
      </c>
      <c r="H266" s="42" t="s">
        <v>18</v>
      </c>
      <c r="I266" s="51" t="s">
        <v>19</v>
      </c>
      <c r="J266" s="65"/>
      <c r="K266" s="51" t="s">
        <v>20</v>
      </c>
      <c r="L266" s="70"/>
      <c r="M266" s="51" t="s">
        <v>1521</v>
      </c>
    </row>
    <row r="267" spans="1:13">
      <c r="A267" s="95" t="s">
        <v>2093</v>
      </c>
      <c r="B267" s="47"/>
      <c r="C267" s="55">
        <v>3</v>
      </c>
      <c r="D267" s="57" t="s">
        <v>785</v>
      </c>
      <c r="E267" s="53" t="s">
        <v>1268</v>
      </c>
      <c r="F267" s="33" t="s">
        <v>2094</v>
      </c>
      <c r="G267" s="130" t="s">
        <v>2095</v>
      </c>
      <c r="H267" s="42" t="s">
        <v>899</v>
      </c>
      <c r="I267" s="51" t="s">
        <v>19</v>
      </c>
      <c r="J267" s="65"/>
      <c r="K267" s="51" t="s">
        <v>20</v>
      </c>
      <c r="L267" s="70"/>
      <c r="M267" s="51"/>
    </row>
    <row r="268" spans="1:13">
      <c r="A268" s="95" t="s">
        <v>2096</v>
      </c>
      <c r="B268" s="47">
        <v>3</v>
      </c>
      <c r="C268" s="55">
        <v>2</v>
      </c>
      <c r="D268" s="57" t="s">
        <v>785</v>
      </c>
      <c r="E268" s="53" t="s">
        <v>1268</v>
      </c>
      <c r="F268" s="33" t="s">
        <v>2097</v>
      </c>
      <c r="G268" s="130" t="s">
        <v>2098</v>
      </c>
      <c r="H268" s="42" t="s">
        <v>2099</v>
      </c>
      <c r="I268" s="51" t="s">
        <v>19</v>
      </c>
      <c r="J268" s="65"/>
      <c r="K268" s="51" t="s">
        <v>20</v>
      </c>
      <c r="L268" s="70"/>
      <c r="M268" s="51"/>
    </row>
    <row r="269" spans="1:13">
      <c r="A269" s="95" t="s">
        <v>2100</v>
      </c>
      <c r="B269" s="47"/>
      <c r="C269" s="55">
        <v>3</v>
      </c>
      <c r="D269" s="57" t="s">
        <v>785</v>
      </c>
      <c r="E269" s="53" t="s">
        <v>1298</v>
      </c>
      <c r="F269" s="35" t="s">
        <v>2101</v>
      </c>
      <c r="G269" s="133" t="s">
        <v>2102</v>
      </c>
      <c r="H269" s="42" t="s">
        <v>2103</v>
      </c>
      <c r="I269" s="51" t="s">
        <v>19</v>
      </c>
      <c r="J269" s="65"/>
      <c r="K269" s="51" t="s">
        <v>20</v>
      </c>
      <c r="L269" s="70"/>
      <c r="M269" s="51" t="s">
        <v>57</v>
      </c>
    </row>
    <row r="270" spans="1:13">
      <c r="A270" s="95" t="s">
        <v>2104</v>
      </c>
      <c r="B270" s="47"/>
      <c r="C270" s="55">
        <v>3</v>
      </c>
      <c r="D270" s="57" t="s">
        <v>785</v>
      </c>
      <c r="E270" s="53" t="s">
        <v>921</v>
      </c>
      <c r="F270" s="35" t="s">
        <v>2105</v>
      </c>
      <c r="G270" s="133" t="s">
        <v>2106</v>
      </c>
      <c r="H270" s="42" t="s">
        <v>2107</v>
      </c>
      <c r="I270" s="51" t="s">
        <v>19</v>
      </c>
      <c r="J270" s="65"/>
      <c r="K270" s="51" t="s">
        <v>20</v>
      </c>
      <c r="L270" s="70"/>
      <c r="M270" s="51" t="s">
        <v>57</v>
      </c>
    </row>
    <row r="271" spans="1:13">
      <c r="A271" s="95" t="s">
        <v>2108</v>
      </c>
      <c r="B271" s="47">
        <v>1</v>
      </c>
      <c r="C271" s="55">
        <v>1</v>
      </c>
      <c r="D271" s="57" t="s">
        <v>785</v>
      </c>
      <c r="E271" s="53" t="s">
        <v>1336</v>
      </c>
      <c r="F271" s="35" t="s">
        <v>2109</v>
      </c>
      <c r="G271" s="136" t="s">
        <v>2110</v>
      </c>
      <c r="H271" s="42" t="s">
        <v>2111</v>
      </c>
      <c r="I271" s="51" t="s">
        <v>19</v>
      </c>
      <c r="J271" s="65"/>
      <c r="K271" s="51" t="s">
        <v>20</v>
      </c>
      <c r="L271" s="70"/>
      <c r="M271" s="51" t="s">
        <v>57</v>
      </c>
    </row>
    <row r="272" spans="1:13">
      <c r="A272" s="95" t="s">
        <v>2112</v>
      </c>
      <c r="B272" s="47">
        <v>1</v>
      </c>
      <c r="C272" s="55">
        <v>1</v>
      </c>
      <c r="D272" s="57" t="s">
        <v>785</v>
      </c>
      <c r="E272" s="53" t="s">
        <v>1336</v>
      </c>
      <c r="F272" s="35" t="s">
        <v>2113</v>
      </c>
      <c r="G272" s="136" t="s">
        <v>2114</v>
      </c>
      <c r="H272" s="42" t="s">
        <v>2115</v>
      </c>
      <c r="I272" s="51" t="s">
        <v>19</v>
      </c>
      <c r="J272" s="65"/>
      <c r="K272" s="51" t="s">
        <v>20</v>
      </c>
      <c r="L272" s="70"/>
      <c r="M272" s="51" t="s">
        <v>57</v>
      </c>
    </row>
    <row r="273" spans="1:13">
      <c r="A273" s="95" t="s">
        <v>2116</v>
      </c>
      <c r="B273" s="47">
        <v>1</v>
      </c>
      <c r="C273" s="55">
        <v>1</v>
      </c>
      <c r="D273" s="57" t="s">
        <v>1035</v>
      </c>
      <c r="E273" s="53" t="s">
        <v>836</v>
      </c>
      <c r="F273" s="33" t="s">
        <v>2117</v>
      </c>
      <c r="G273" s="130" t="s">
        <v>2118</v>
      </c>
      <c r="H273" s="42" t="s">
        <v>2119</v>
      </c>
      <c r="I273" s="51" t="s">
        <v>19</v>
      </c>
      <c r="J273" s="65"/>
      <c r="K273" s="51" t="s">
        <v>20</v>
      </c>
      <c r="L273" s="69"/>
      <c r="M273" s="51"/>
    </row>
    <row r="274" spans="1:13">
      <c r="A274" s="95" t="s">
        <v>2120</v>
      </c>
      <c r="B274" s="47">
        <v>2</v>
      </c>
      <c r="C274" s="55">
        <v>3</v>
      </c>
      <c r="D274" s="57" t="s">
        <v>1035</v>
      </c>
      <c r="E274" s="53" t="s">
        <v>836</v>
      </c>
      <c r="F274" s="33" t="s">
        <v>2121</v>
      </c>
      <c r="G274" s="130" t="s">
        <v>2122</v>
      </c>
      <c r="H274" s="42" t="s">
        <v>18</v>
      </c>
      <c r="I274" s="51" t="s">
        <v>19</v>
      </c>
      <c r="J274" s="65"/>
      <c r="K274" s="51" t="s">
        <v>20</v>
      </c>
      <c r="L274" s="69"/>
      <c r="M274" s="51"/>
    </row>
    <row r="275" spans="1:13">
      <c r="A275" s="95" t="s">
        <v>2123</v>
      </c>
      <c r="B275" s="47">
        <v>2</v>
      </c>
      <c r="C275" s="55">
        <v>2</v>
      </c>
      <c r="D275" s="57" t="s">
        <v>1035</v>
      </c>
      <c r="E275" s="53" t="s">
        <v>836</v>
      </c>
      <c r="F275" s="33" t="s">
        <v>2124</v>
      </c>
      <c r="G275" s="130" t="s">
        <v>2125</v>
      </c>
      <c r="H275" s="42" t="s">
        <v>2126</v>
      </c>
      <c r="I275" s="51" t="s">
        <v>19</v>
      </c>
      <c r="J275" s="65"/>
      <c r="K275" s="51" t="s">
        <v>20</v>
      </c>
      <c r="L275" s="69"/>
      <c r="M275" s="51"/>
    </row>
    <row r="276" spans="1:13">
      <c r="A276" s="95" t="s">
        <v>2127</v>
      </c>
      <c r="B276" s="47"/>
      <c r="C276" s="55">
        <v>2</v>
      </c>
      <c r="D276" s="57" t="s">
        <v>1035</v>
      </c>
      <c r="E276" s="53" t="s">
        <v>836</v>
      </c>
      <c r="F276" s="35" t="s">
        <v>2128</v>
      </c>
      <c r="G276" s="133" t="s">
        <v>2129</v>
      </c>
      <c r="H276" s="42" t="s">
        <v>2130</v>
      </c>
      <c r="I276" s="51" t="s">
        <v>19</v>
      </c>
      <c r="J276" s="65"/>
      <c r="K276" s="51" t="s">
        <v>20</v>
      </c>
      <c r="L276" s="69"/>
      <c r="M276" s="51" t="s">
        <v>57</v>
      </c>
    </row>
    <row r="277" spans="1:13">
      <c r="A277" s="95" t="s">
        <v>2131</v>
      </c>
      <c r="B277" s="47"/>
      <c r="C277" s="55">
        <v>2</v>
      </c>
      <c r="D277" s="57" t="s">
        <v>1035</v>
      </c>
      <c r="E277" s="53" t="s">
        <v>836</v>
      </c>
      <c r="F277" s="35" t="s">
        <v>2132</v>
      </c>
      <c r="G277" s="133" t="s">
        <v>2133</v>
      </c>
      <c r="H277" s="42" t="s">
        <v>2134</v>
      </c>
      <c r="I277" s="51" t="s">
        <v>19</v>
      </c>
      <c r="J277" s="65"/>
      <c r="K277" s="51" t="s">
        <v>20</v>
      </c>
      <c r="L277" s="69"/>
      <c r="M277" s="51" t="s">
        <v>57</v>
      </c>
    </row>
    <row r="278" spans="1:13">
      <c r="A278" s="95" t="s">
        <v>2135</v>
      </c>
      <c r="B278" s="47"/>
      <c r="C278" s="55">
        <v>3</v>
      </c>
      <c r="D278" s="57" t="s">
        <v>1035</v>
      </c>
      <c r="E278" s="53" t="s">
        <v>836</v>
      </c>
      <c r="F278" s="33" t="s">
        <v>2136</v>
      </c>
      <c r="G278" s="130" t="s">
        <v>2137</v>
      </c>
      <c r="H278" s="42" t="s">
        <v>2138</v>
      </c>
      <c r="I278" s="51" t="s">
        <v>19</v>
      </c>
      <c r="J278" s="65"/>
      <c r="K278" s="51" t="s">
        <v>20</v>
      </c>
      <c r="L278" s="69"/>
      <c r="M278" s="51"/>
    </row>
    <row r="279" spans="1:13">
      <c r="A279" s="95" t="s">
        <v>2139</v>
      </c>
      <c r="B279" s="47"/>
      <c r="C279" s="55">
        <v>3</v>
      </c>
      <c r="D279" s="57" t="s">
        <v>1035</v>
      </c>
      <c r="E279" s="53" t="s">
        <v>1140</v>
      </c>
      <c r="F279" s="33" t="s">
        <v>2140</v>
      </c>
      <c r="G279" s="130" t="s">
        <v>2141</v>
      </c>
      <c r="H279" s="42" t="s">
        <v>2142</v>
      </c>
      <c r="I279" s="51" t="s">
        <v>19</v>
      </c>
      <c r="J279" s="65"/>
      <c r="K279" s="51" t="s">
        <v>20</v>
      </c>
      <c r="L279" s="69"/>
      <c r="M279" s="51"/>
    </row>
    <row r="280" spans="1:13">
      <c r="A280" s="95" t="s">
        <v>2143</v>
      </c>
      <c r="B280" s="47"/>
      <c r="C280" s="55">
        <v>3</v>
      </c>
      <c r="D280" s="57" t="s">
        <v>1035</v>
      </c>
      <c r="E280" s="53" t="s">
        <v>1140</v>
      </c>
      <c r="F280" s="33" t="s">
        <v>2144</v>
      </c>
      <c r="G280" s="130" t="s">
        <v>2145</v>
      </c>
      <c r="H280" s="42" t="s">
        <v>2146</v>
      </c>
      <c r="I280" s="51" t="s">
        <v>19</v>
      </c>
      <c r="J280" s="65"/>
      <c r="K280" s="51" t="s">
        <v>20</v>
      </c>
      <c r="L280" s="69"/>
      <c r="M280" s="51"/>
    </row>
    <row r="281" spans="1:13">
      <c r="A281" s="95" t="s">
        <v>2147</v>
      </c>
      <c r="B281" s="47"/>
      <c r="C281" s="55">
        <v>3</v>
      </c>
      <c r="D281" s="57" t="s">
        <v>1035</v>
      </c>
      <c r="E281" s="53" t="s">
        <v>213</v>
      </c>
      <c r="F281" s="33" t="s">
        <v>2148</v>
      </c>
      <c r="G281" s="130" t="s">
        <v>2149</v>
      </c>
      <c r="H281" s="42" t="s">
        <v>2150</v>
      </c>
      <c r="I281" s="51" t="s">
        <v>19</v>
      </c>
      <c r="J281" s="65"/>
      <c r="K281" s="51" t="s">
        <v>20</v>
      </c>
      <c r="L281" s="69"/>
      <c r="M281" s="51"/>
    </row>
    <row r="282" spans="1:13">
      <c r="A282" s="95" t="s">
        <v>2151</v>
      </c>
      <c r="B282" s="47">
        <v>2</v>
      </c>
      <c r="C282" s="55">
        <v>2</v>
      </c>
      <c r="D282" s="57" t="s">
        <v>1035</v>
      </c>
      <c r="E282" s="53" t="s">
        <v>1227</v>
      </c>
      <c r="F282" s="35" t="s">
        <v>2152</v>
      </c>
      <c r="G282" s="144" t="s">
        <v>2153</v>
      </c>
      <c r="H282" s="42" t="s">
        <v>2154</v>
      </c>
      <c r="I282" s="51" t="s">
        <v>19</v>
      </c>
      <c r="J282" s="65"/>
      <c r="K282" s="51" t="s">
        <v>20</v>
      </c>
      <c r="L282" s="69"/>
      <c r="M282" s="51" t="s">
        <v>1521</v>
      </c>
    </row>
    <row r="283" spans="1:13">
      <c r="A283" s="95" t="s">
        <v>2155</v>
      </c>
      <c r="B283" s="47">
        <v>2</v>
      </c>
      <c r="C283" s="55">
        <v>2</v>
      </c>
      <c r="D283" s="57" t="s">
        <v>1035</v>
      </c>
      <c r="E283" s="53" t="s">
        <v>1227</v>
      </c>
      <c r="F283" s="33" t="s">
        <v>2156</v>
      </c>
      <c r="G283" s="130" t="s">
        <v>2157</v>
      </c>
      <c r="H283" s="42" t="s">
        <v>18</v>
      </c>
      <c r="I283" s="51" t="s">
        <v>19</v>
      </c>
      <c r="J283" s="65"/>
      <c r="K283" s="51" t="s">
        <v>20</v>
      </c>
      <c r="L283" s="69"/>
      <c r="M283" s="51" t="s">
        <v>1529</v>
      </c>
    </row>
    <row r="284" spans="1:13">
      <c r="A284" s="95" t="s">
        <v>2158</v>
      </c>
      <c r="B284" s="47">
        <v>2</v>
      </c>
      <c r="C284" s="55">
        <v>2</v>
      </c>
      <c r="D284" s="57" t="s">
        <v>1035</v>
      </c>
      <c r="E284" s="53" t="s">
        <v>1227</v>
      </c>
      <c r="F284" s="33" t="s">
        <v>2159</v>
      </c>
      <c r="G284" s="130" t="s">
        <v>2160</v>
      </c>
      <c r="H284" s="42" t="s">
        <v>18</v>
      </c>
      <c r="I284" s="51" t="s">
        <v>19</v>
      </c>
      <c r="J284" s="65"/>
      <c r="K284" s="51" t="s">
        <v>20</v>
      </c>
      <c r="L284" s="69"/>
      <c r="M284" s="51" t="s">
        <v>1529</v>
      </c>
    </row>
    <row r="285" spans="1:13">
      <c r="A285" s="95" t="s">
        <v>2161</v>
      </c>
      <c r="B285" s="47">
        <v>2</v>
      </c>
      <c r="C285" s="55">
        <v>2</v>
      </c>
      <c r="D285" s="57" t="s">
        <v>1035</v>
      </c>
      <c r="E285" s="53" t="s">
        <v>1227</v>
      </c>
      <c r="F285" s="33" t="s">
        <v>2162</v>
      </c>
      <c r="G285" s="130" t="s">
        <v>2163</v>
      </c>
      <c r="H285" s="42" t="s">
        <v>18</v>
      </c>
      <c r="I285" s="51" t="s">
        <v>19</v>
      </c>
      <c r="J285" s="65"/>
      <c r="K285" s="51" t="s">
        <v>20</v>
      </c>
      <c r="L285" s="69"/>
      <c r="M285" s="51" t="s">
        <v>1529</v>
      </c>
    </row>
    <row r="286" spans="1:13">
      <c r="A286" s="95" t="s">
        <v>2164</v>
      </c>
      <c r="B286" s="47">
        <v>2</v>
      </c>
      <c r="C286" s="55">
        <v>2</v>
      </c>
      <c r="D286" s="57" t="s">
        <v>1035</v>
      </c>
      <c r="E286" s="53" t="s">
        <v>1227</v>
      </c>
      <c r="F286" s="33" t="s">
        <v>2165</v>
      </c>
      <c r="G286" s="130" t="s">
        <v>2166</v>
      </c>
      <c r="H286" s="42" t="s">
        <v>2167</v>
      </c>
      <c r="I286" s="51" t="s">
        <v>19</v>
      </c>
      <c r="J286" s="65"/>
      <c r="K286" s="51" t="s">
        <v>20</v>
      </c>
      <c r="L286" s="69"/>
      <c r="M286" s="51" t="s">
        <v>1529</v>
      </c>
    </row>
    <row r="287" spans="1:13">
      <c r="A287" s="95" t="s">
        <v>2168</v>
      </c>
      <c r="B287" s="47">
        <v>2</v>
      </c>
      <c r="C287" s="55">
        <v>2</v>
      </c>
      <c r="D287" s="57" t="s">
        <v>1035</v>
      </c>
      <c r="E287" s="53" t="s">
        <v>1227</v>
      </c>
      <c r="F287" s="33" t="s">
        <v>2169</v>
      </c>
      <c r="G287" s="130" t="s">
        <v>2170</v>
      </c>
      <c r="H287" s="42" t="s">
        <v>18</v>
      </c>
      <c r="I287" s="51" t="s">
        <v>19</v>
      </c>
      <c r="J287" s="65"/>
      <c r="K287" s="51" t="s">
        <v>20</v>
      </c>
      <c r="L287" s="69"/>
      <c r="M287" s="51" t="s">
        <v>1529</v>
      </c>
    </row>
    <row r="288" spans="1:13">
      <c r="A288" s="95" t="s">
        <v>2171</v>
      </c>
      <c r="B288" s="47">
        <v>1</v>
      </c>
      <c r="C288" s="55">
        <v>1</v>
      </c>
      <c r="D288" s="57" t="s">
        <v>1035</v>
      </c>
      <c r="E288" s="53" t="s">
        <v>2172</v>
      </c>
      <c r="F288" s="33" t="s">
        <v>2173</v>
      </c>
      <c r="G288" s="145" t="s">
        <v>2174</v>
      </c>
      <c r="H288" s="43" t="s">
        <v>2175</v>
      </c>
      <c r="I288" s="51" t="s">
        <v>33</v>
      </c>
      <c r="J288" s="65" t="s">
        <v>2176</v>
      </c>
      <c r="K288" s="51" t="s">
        <v>20</v>
      </c>
      <c r="L288" s="70" t="s">
        <v>34</v>
      </c>
      <c r="M288" s="51"/>
    </row>
    <row r="289" spans="1:13">
      <c r="A289" s="95" t="s">
        <v>2177</v>
      </c>
      <c r="B289" s="47"/>
      <c r="C289" s="55">
        <v>3</v>
      </c>
      <c r="D289" s="57" t="s">
        <v>1035</v>
      </c>
      <c r="E289" s="53" t="s">
        <v>1268</v>
      </c>
      <c r="F289" s="35" t="s">
        <v>2178</v>
      </c>
      <c r="G289" s="144" t="s">
        <v>2179</v>
      </c>
      <c r="H289" s="42" t="s">
        <v>2180</v>
      </c>
      <c r="I289" s="51" t="s">
        <v>19</v>
      </c>
      <c r="J289" s="65"/>
      <c r="K289" s="51" t="s">
        <v>20</v>
      </c>
      <c r="L289" s="69"/>
      <c r="M289" s="51" t="s">
        <v>57</v>
      </c>
    </row>
    <row r="290" spans="1:13">
      <c r="A290" s="95" t="s">
        <v>2181</v>
      </c>
      <c r="B290" s="47"/>
      <c r="C290" s="55">
        <v>3</v>
      </c>
      <c r="D290" s="57" t="s">
        <v>1035</v>
      </c>
      <c r="E290" s="53" t="s">
        <v>1268</v>
      </c>
      <c r="F290" s="35" t="s">
        <v>2182</v>
      </c>
      <c r="G290" s="144" t="s">
        <v>2183</v>
      </c>
      <c r="H290" s="42" t="s">
        <v>2184</v>
      </c>
      <c r="I290" s="51" t="s">
        <v>19</v>
      </c>
      <c r="J290" s="65"/>
      <c r="K290" s="51" t="s">
        <v>20</v>
      </c>
      <c r="L290" s="69"/>
      <c r="M290" s="51" t="s">
        <v>57</v>
      </c>
    </row>
    <row r="291" spans="1:13">
      <c r="A291" s="95" t="s">
        <v>2185</v>
      </c>
      <c r="B291" s="47">
        <v>3</v>
      </c>
      <c r="C291" s="55">
        <v>2</v>
      </c>
      <c r="D291" s="57" t="s">
        <v>1035</v>
      </c>
      <c r="E291" s="53" t="s">
        <v>1268</v>
      </c>
      <c r="F291" s="35" t="s">
        <v>2186</v>
      </c>
      <c r="G291" s="144" t="s">
        <v>2187</v>
      </c>
      <c r="H291" s="42" t="s">
        <v>2188</v>
      </c>
      <c r="I291" s="51" t="s">
        <v>19</v>
      </c>
      <c r="J291" s="65"/>
      <c r="K291" s="51" t="s">
        <v>20</v>
      </c>
      <c r="L291" s="69"/>
      <c r="M291" s="51" t="s">
        <v>57</v>
      </c>
    </row>
    <row r="292" spans="1:13">
      <c r="A292" s="95" t="s">
        <v>2189</v>
      </c>
      <c r="B292" s="47"/>
      <c r="C292" s="55">
        <v>3</v>
      </c>
      <c r="D292" s="57" t="s">
        <v>1035</v>
      </c>
      <c r="E292" s="53" t="s">
        <v>1268</v>
      </c>
      <c r="F292" s="35" t="s">
        <v>2190</v>
      </c>
      <c r="G292" s="144" t="s">
        <v>2191</v>
      </c>
      <c r="H292" s="42" t="s">
        <v>2192</v>
      </c>
      <c r="I292" s="51" t="s">
        <v>19</v>
      </c>
      <c r="J292" s="65"/>
      <c r="K292" s="51" t="s">
        <v>20</v>
      </c>
      <c r="L292" s="69"/>
      <c r="M292" s="51" t="s">
        <v>57</v>
      </c>
    </row>
    <row r="293" spans="1:13">
      <c r="A293" s="95" t="s">
        <v>2193</v>
      </c>
      <c r="B293" s="47"/>
      <c r="C293" s="55">
        <v>3</v>
      </c>
      <c r="D293" s="57" t="s">
        <v>1035</v>
      </c>
      <c r="E293" s="53" t="s">
        <v>1268</v>
      </c>
      <c r="F293" s="35" t="s">
        <v>2194</v>
      </c>
      <c r="G293" s="144" t="s">
        <v>2195</v>
      </c>
      <c r="H293" s="42" t="s">
        <v>18</v>
      </c>
      <c r="I293" s="51" t="s">
        <v>19</v>
      </c>
      <c r="J293" s="65"/>
      <c r="K293" s="51" t="s">
        <v>20</v>
      </c>
      <c r="L293" s="69"/>
      <c r="M293" s="51" t="s">
        <v>57</v>
      </c>
    </row>
    <row r="294" spans="1:13">
      <c r="A294" s="95" t="s">
        <v>2196</v>
      </c>
      <c r="B294" s="47"/>
      <c r="C294" s="55">
        <v>3</v>
      </c>
      <c r="D294" s="57" t="s">
        <v>1035</v>
      </c>
      <c r="E294" s="53" t="s">
        <v>1298</v>
      </c>
      <c r="F294" s="35" t="s">
        <v>2197</v>
      </c>
      <c r="G294" s="144" t="s">
        <v>2198</v>
      </c>
      <c r="H294" s="42" t="s">
        <v>2199</v>
      </c>
      <c r="I294" s="51" t="s">
        <v>19</v>
      </c>
      <c r="J294" s="65"/>
      <c r="K294" s="51" t="s">
        <v>20</v>
      </c>
      <c r="L294" s="69"/>
      <c r="M294" s="51" t="s">
        <v>57</v>
      </c>
    </row>
    <row r="295" spans="1:13">
      <c r="A295" s="95" t="s">
        <v>2200</v>
      </c>
      <c r="B295" s="47">
        <v>3</v>
      </c>
      <c r="C295" s="55">
        <v>2</v>
      </c>
      <c r="D295" s="57" t="s">
        <v>1035</v>
      </c>
      <c r="E295" s="53" t="s">
        <v>2201</v>
      </c>
      <c r="F295" s="35" t="s">
        <v>2202</v>
      </c>
      <c r="G295" s="144" t="s">
        <v>2203</v>
      </c>
      <c r="H295" s="42" t="s">
        <v>2204</v>
      </c>
      <c r="I295" s="51" t="s">
        <v>19</v>
      </c>
      <c r="J295" s="65"/>
      <c r="K295" s="51" t="s">
        <v>20</v>
      </c>
      <c r="L295" s="69"/>
      <c r="M295" s="51" t="s">
        <v>57</v>
      </c>
    </row>
    <row r="296" spans="1:13">
      <c r="A296" s="95" t="s">
        <v>2205</v>
      </c>
      <c r="B296" s="47">
        <v>3</v>
      </c>
      <c r="C296" s="55">
        <v>2</v>
      </c>
      <c r="D296" s="57" t="s">
        <v>1035</v>
      </c>
      <c r="E296" s="53" t="s">
        <v>2201</v>
      </c>
      <c r="F296" s="35" t="s">
        <v>2206</v>
      </c>
      <c r="G296" s="144" t="s">
        <v>2207</v>
      </c>
      <c r="H296" s="42" t="s">
        <v>2208</v>
      </c>
      <c r="I296" s="51" t="s">
        <v>19</v>
      </c>
      <c r="J296" s="65"/>
      <c r="K296" s="51" t="s">
        <v>20</v>
      </c>
      <c r="L296" s="69"/>
      <c r="M296" s="51" t="s">
        <v>57</v>
      </c>
    </row>
    <row r="297" spans="1:13">
      <c r="A297" s="95" t="s">
        <v>2209</v>
      </c>
      <c r="B297" s="47">
        <v>3</v>
      </c>
      <c r="C297" s="55">
        <v>2</v>
      </c>
      <c r="D297" s="57" t="s">
        <v>1035</v>
      </c>
      <c r="E297" s="53" t="s">
        <v>2201</v>
      </c>
      <c r="F297" s="35" t="s">
        <v>2210</v>
      </c>
      <c r="G297" s="144" t="s">
        <v>2211</v>
      </c>
      <c r="H297" s="42" t="s">
        <v>2212</v>
      </c>
      <c r="I297" s="51" t="s">
        <v>19</v>
      </c>
      <c r="J297" s="65"/>
      <c r="K297" s="51" t="s">
        <v>20</v>
      </c>
      <c r="L297" s="69"/>
      <c r="M297" s="51" t="s">
        <v>57</v>
      </c>
    </row>
    <row r="298" spans="1:13">
      <c r="A298" s="95" t="s">
        <v>2213</v>
      </c>
      <c r="B298" s="47">
        <v>3</v>
      </c>
      <c r="C298" s="55">
        <v>2</v>
      </c>
      <c r="D298" s="57" t="s">
        <v>1035</v>
      </c>
      <c r="E298" s="53" t="s">
        <v>2201</v>
      </c>
      <c r="F298" s="35" t="s">
        <v>2214</v>
      </c>
      <c r="G298" s="144" t="s">
        <v>2215</v>
      </c>
      <c r="H298" s="42" t="s">
        <v>2216</v>
      </c>
      <c r="I298" s="51" t="s">
        <v>19</v>
      </c>
      <c r="J298" s="65"/>
      <c r="K298" s="51" t="s">
        <v>20</v>
      </c>
      <c r="L298" s="69"/>
      <c r="M298" s="51" t="s">
        <v>57</v>
      </c>
    </row>
    <row r="299" spans="1:13">
      <c r="A299" s="95" t="s">
        <v>2217</v>
      </c>
      <c r="B299" s="47"/>
      <c r="C299" s="55">
        <v>3</v>
      </c>
      <c r="D299" s="57" t="s">
        <v>1035</v>
      </c>
      <c r="E299" s="53" t="s">
        <v>2218</v>
      </c>
      <c r="F299" s="30" t="s">
        <v>2219</v>
      </c>
      <c r="G299" s="146" t="s">
        <v>2220</v>
      </c>
      <c r="H299" s="42" t="s">
        <v>797</v>
      </c>
      <c r="I299" s="51" t="s">
        <v>19</v>
      </c>
      <c r="K299" s="51" t="s">
        <v>20</v>
      </c>
      <c r="M299" s="22"/>
    </row>
    <row r="300" spans="1:13">
      <c r="A300" s="95" t="s">
        <v>2221</v>
      </c>
      <c r="B300" s="47"/>
      <c r="C300" s="55">
        <v>3</v>
      </c>
      <c r="D300" s="57" t="s">
        <v>1035</v>
      </c>
      <c r="E300" s="53" t="s">
        <v>2218</v>
      </c>
      <c r="F300" s="33" t="s">
        <v>2222</v>
      </c>
      <c r="G300" s="130" t="s">
        <v>2223</v>
      </c>
      <c r="H300" s="42" t="s">
        <v>2224</v>
      </c>
      <c r="I300" s="51" t="s">
        <v>19</v>
      </c>
      <c r="J300" s="65"/>
      <c r="K300" s="51" t="s">
        <v>20</v>
      </c>
      <c r="L300" s="69"/>
      <c r="M300" s="51"/>
    </row>
    <row r="301" spans="1:13">
      <c r="A301" s="95" t="s">
        <v>2225</v>
      </c>
      <c r="B301" s="47"/>
      <c r="C301" s="55">
        <v>3</v>
      </c>
      <c r="D301" s="57" t="s">
        <v>1035</v>
      </c>
      <c r="E301" s="53" t="s">
        <v>2218</v>
      </c>
      <c r="F301" s="33" t="s">
        <v>2226</v>
      </c>
      <c r="G301" s="130" t="s">
        <v>2227</v>
      </c>
      <c r="H301" s="42" t="s">
        <v>797</v>
      </c>
      <c r="I301" s="51" t="s">
        <v>19</v>
      </c>
      <c r="J301" s="65"/>
      <c r="K301" s="51" t="s">
        <v>20</v>
      </c>
      <c r="L301" s="69"/>
      <c r="M301" s="51"/>
    </row>
    <row r="302" spans="1:13">
      <c r="A302" s="95" t="s">
        <v>2228</v>
      </c>
      <c r="B302" s="47"/>
      <c r="C302" s="55">
        <v>3</v>
      </c>
      <c r="D302" s="57" t="s">
        <v>1035</v>
      </c>
      <c r="E302" s="53" t="s">
        <v>2218</v>
      </c>
      <c r="F302" s="35" t="s">
        <v>2229</v>
      </c>
      <c r="G302" s="136" t="s">
        <v>2230</v>
      </c>
      <c r="H302" s="42" t="s">
        <v>2231</v>
      </c>
      <c r="I302" s="51" t="s">
        <v>19</v>
      </c>
      <c r="J302" s="65"/>
      <c r="K302" s="51" t="s">
        <v>20</v>
      </c>
      <c r="L302" s="69"/>
      <c r="M302" s="51" t="s">
        <v>57</v>
      </c>
    </row>
    <row r="303" spans="1:13">
      <c r="A303" s="95" t="s">
        <v>2232</v>
      </c>
      <c r="B303" s="47"/>
      <c r="C303" s="55">
        <v>3</v>
      </c>
      <c r="D303" s="57" t="s">
        <v>1035</v>
      </c>
      <c r="E303" s="53" t="s">
        <v>2233</v>
      </c>
      <c r="F303" s="33" t="s">
        <v>2234</v>
      </c>
      <c r="G303" s="130" t="s">
        <v>2235</v>
      </c>
      <c r="H303" s="42" t="s">
        <v>797</v>
      </c>
      <c r="I303" s="51" t="s">
        <v>19</v>
      </c>
      <c r="J303" s="65"/>
      <c r="K303" s="51" t="s">
        <v>20</v>
      </c>
      <c r="L303" s="69"/>
      <c r="M303" s="51"/>
    </row>
    <row r="304" spans="1:13">
      <c r="A304" s="95" t="s">
        <v>2236</v>
      </c>
      <c r="B304" s="47"/>
      <c r="C304" s="55">
        <v>3</v>
      </c>
      <c r="D304" s="57" t="s">
        <v>1035</v>
      </c>
      <c r="E304" s="53" t="s">
        <v>2233</v>
      </c>
      <c r="F304" s="33" t="s">
        <v>2237</v>
      </c>
      <c r="G304" s="130" t="s">
        <v>2238</v>
      </c>
      <c r="H304" s="42" t="s">
        <v>2239</v>
      </c>
      <c r="I304" s="51" t="s">
        <v>19</v>
      </c>
      <c r="J304" s="65"/>
      <c r="K304" s="51" t="s">
        <v>20</v>
      </c>
      <c r="L304" s="69"/>
      <c r="M304" s="51"/>
    </row>
    <row r="305" spans="1:13">
      <c r="A305" s="95" t="s">
        <v>2240</v>
      </c>
      <c r="B305" s="47"/>
      <c r="C305" s="55">
        <v>3</v>
      </c>
      <c r="D305" s="57" t="s">
        <v>1035</v>
      </c>
      <c r="E305" s="53" t="s">
        <v>2233</v>
      </c>
      <c r="F305" s="33" t="s">
        <v>2241</v>
      </c>
      <c r="G305" s="130" t="s">
        <v>2242</v>
      </c>
      <c r="H305" s="42" t="s">
        <v>797</v>
      </c>
      <c r="I305" s="51" t="s">
        <v>19</v>
      </c>
      <c r="J305" s="65"/>
      <c r="K305" s="51" t="s">
        <v>20</v>
      </c>
      <c r="L305" s="69"/>
      <c r="M305" s="51"/>
    </row>
    <row r="306" spans="1:13">
      <c r="A306" s="95" t="s">
        <v>2243</v>
      </c>
      <c r="B306" s="47"/>
      <c r="C306" s="55">
        <v>3</v>
      </c>
      <c r="D306" s="57" t="s">
        <v>1035</v>
      </c>
      <c r="E306" s="53" t="s">
        <v>2233</v>
      </c>
      <c r="F306" s="35" t="s">
        <v>2244</v>
      </c>
      <c r="G306" s="136" t="s">
        <v>2245</v>
      </c>
      <c r="H306" s="42" t="s">
        <v>2246</v>
      </c>
      <c r="I306" s="51" t="s">
        <v>19</v>
      </c>
      <c r="J306" s="65"/>
      <c r="K306" s="51" t="s">
        <v>20</v>
      </c>
      <c r="L306" s="69"/>
      <c r="M306" s="51" t="s">
        <v>57</v>
      </c>
    </row>
    <row r="307" spans="1:13">
      <c r="A307" s="95" t="s">
        <v>2247</v>
      </c>
      <c r="B307" s="47"/>
      <c r="C307" s="55">
        <v>3</v>
      </c>
      <c r="D307" s="57" t="s">
        <v>1035</v>
      </c>
      <c r="E307" s="53" t="s">
        <v>2248</v>
      </c>
      <c r="F307" s="33" t="s">
        <v>2249</v>
      </c>
      <c r="G307" s="130" t="s">
        <v>2250</v>
      </c>
      <c r="H307" s="42" t="s">
        <v>797</v>
      </c>
      <c r="I307" s="51" t="s">
        <v>19</v>
      </c>
      <c r="J307" s="65"/>
      <c r="K307" s="51" t="s">
        <v>20</v>
      </c>
      <c r="L307" s="69"/>
      <c r="M307" s="51"/>
    </row>
    <row r="308" spans="1:13">
      <c r="A308" s="95" t="s">
        <v>2251</v>
      </c>
      <c r="B308" s="47"/>
      <c r="C308" s="55">
        <v>3</v>
      </c>
      <c r="D308" s="57" t="s">
        <v>1035</v>
      </c>
      <c r="E308" s="53" t="s">
        <v>2248</v>
      </c>
      <c r="F308" s="33" t="s">
        <v>2252</v>
      </c>
      <c r="G308" s="130" t="s">
        <v>2253</v>
      </c>
      <c r="H308" s="42" t="s">
        <v>2254</v>
      </c>
      <c r="I308" s="51" t="s">
        <v>19</v>
      </c>
      <c r="J308" s="65"/>
      <c r="K308" s="51" t="s">
        <v>20</v>
      </c>
      <c r="L308" s="69"/>
      <c r="M308" s="51"/>
    </row>
    <row r="309" spans="1:13" s="31" customFormat="1">
      <c r="A309" s="95" t="s">
        <v>2255</v>
      </c>
      <c r="B309" s="47"/>
      <c r="C309" s="55">
        <v>3</v>
      </c>
      <c r="D309" s="57" t="s">
        <v>1035</v>
      </c>
      <c r="E309" s="53" t="s">
        <v>2248</v>
      </c>
      <c r="F309" s="33" t="s">
        <v>2256</v>
      </c>
      <c r="G309" s="130" t="s">
        <v>2257</v>
      </c>
      <c r="H309" s="42" t="s">
        <v>797</v>
      </c>
      <c r="I309" s="51" t="s">
        <v>19</v>
      </c>
      <c r="J309" s="65"/>
      <c r="K309" s="51" t="s">
        <v>20</v>
      </c>
      <c r="L309" s="69"/>
      <c r="M309" s="51"/>
    </row>
    <row r="310" spans="1:13">
      <c r="A310" s="95" t="s">
        <v>2258</v>
      </c>
      <c r="B310" s="47"/>
      <c r="C310" s="55">
        <v>3</v>
      </c>
      <c r="D310" s="57" t="s">
        <v>1035</v>
      </c>
      <c r="E310" s="53" t="s">
        <v>2248</v>
      </c>
      <c r="F310" s="35" t="s">
        <v>2259</v>
      </c>
      <c r="G310" s="136" t="s">
        <v>2260</v>
      </c>
      <c r="H310" s="42" t="s">
        <v>2261</v>
      </c>
      <c r="I310" s="51" t="s">
        <v>19</v>
      </c>
      <c r="J310" s="65"/>
      <c r="K310" s="51" t="s">
        <v>20</v>
      </c>
      <c r="L310" s="69"/>
      <c r="M310" s="51" t="s">
        <v>57</v>
      </c>
    </row>
    <row r="311" spans="1:13">
      <c r="A311" s="95" t="s">
        <v>2262</v>
      </c>
      <c r="B311" s="47">
        <v>1</v>
      </c>
      <c r="C311" s="55">
        <v>1</v>
      </c>
      <c r="D311" s="57" t="s">
        <v>1035</v>
      </c>
      <c r="E311" s="53" t="s">
        <v>85</v>
      </c>
      <c r="F311" s="35" t="s">
        <v>2263</v>
      </c>
      <c r="G311" s="144" t="s">
        <v>2264</v>
      </c>
      <c r="H311" s="42" t="s">
        <v>2265</v>
      </c>
      <c r="I311" s="51" t="s">
        <v>19</v>
      </c>
      <c r="J311" s="65"/>
      <c r="K311" s="51"/>
      <c r="L311" s="70"/>
      <c r="M311" s="51" t="s">
        <v>57</v>
      </c>
    </row>
    <row r="312" spans="1:13">
      <c r="A312" s="95" t="s">
        <v>2266</v>
      </c>
      <c r="B312" s="49">
        <v>1</v>
      </c>
      <c r="C312" s="56">
        <v>1</v>
      </c>
      <c r="D312" s="57" t="s">
        <v>1035</v>
      </c>
      <c r="E312" s="77" t="s">
        <v>85</v>
      </c>
      <c r="F312" s="82" t="s">
        <v>2267</v>
      </c>
      <c r="G312" s="147" t="s">
        <v>2268</v>
      </c>
      <c r="H312" s="78" t="s">
        <v>2269</v>
      </c>
      <c r="I312" s="51" t="s">
        <v>19</v>
      </c>
      <c r="J312" s="65"/>
      <c r="K312" s="65"/>
      <c r="L312" s="65"/>
      <c r="M312" s="51" t="s">
        <v>57</v>
      </c>
    </row>
    <row r="313" spans="1:13">
      <c r="A313" s="95" t="s">
        <v>2270</v>
      </c>
      <c r="B313" s="49">
        <v>2</v>
      </c>
      <c r="C313" s="56">
        <v>3</v>
      </c>
      <c r="D313" s="57" t="s">
        <v>1035</v>
      </c>
      <c r="E313" s="53" t="s">
        <v>2271</v>
      </c>
      <c r="F313" s="33" t="s">
        <v>2272</v>
      </c>
      <c r="G313" s="130" t="s">
        <v>2273</v>
      </c>
      <c r="H313" s="42" t="s">
        <v>797</v>
      </c>
      <c r="I313" s="51" t="s">
        <v>19</v>
      </c>
      <c r="J313" s="65"/>
      <c r="K313" s="65"/>
      <c r="L313" s="65" t="s">
        <v>2274</v>
      </c>
      <c r="M313" s="65"/>
    </row>
    <row r="314" spans="1:13">
      <c r="A314" s="95" t="s">
        <v>2275</v>
      </c>
      <c r="B314" s="49">
        <v>2</v>
      </c>
      <c r="C314" s="56">
        <v>3</v>
      </c>
      <c r="D314" s="57" t="s">
        <v>1035</v>
      </c>
      <c r="E314" s="53" t="s">
        <v>2271</v>
      </c>
      <c r="F314" s="33" t="s">
        <v>2276</v>
      </c>
      <c r="G314" s="130" t="s">
        <v>2277</v>
      </c>
      <c r="H314" s="42" t="s">
        <v>2239</v>
      </c>
      <c r="I314" s="51" t="s">
        <v>19</v>
      </c>
      <c r="J314" s="65"/>
      <c r="K314" s="65"/>
      <c r="L314" s="65" t="s">
        <v>2274</v>
      </c>
      <c r="M314" s="65"/>
    </row>
    <row r="315" spans="1:13">
      <c r="A315" s="95" t="s">
        <v>2278</v>
      </c>
      <c r="B315" s="49">
        <v>2</v>
      </c>
      <c r="C315" s="56">
        <v>3</v>
      </c>
      <c r="D315" s="57" t="s">
        <v>1035</v>
      </c>
      <c r="E315" s="53" t="s">
        <v>2271</v>
      </c>
      <c r="F315" s="33" t="s">
        <v>2279</v>
      </c>
      <c r="G315" s="130" t="s">
        <v>2280</v>
      </c>
      <c r="H315" s="22" t="s">
        <v>2281</v>
      </c>
      <c r="I315" s="51" t="s">
        <v>19</v>
      </c>
      <c r="J315" s="65"/>
      <c r="K315" s="65"/>
      <c r="L315" s="65" t="s">
        <v>2274</v>
      </c>
      <c r="M315" s="65"/>
    </row>
    <row r="316" spans="1:13">
      <c r="A316" s="95" t="s">
        <v>2282</v>
      </c>
      <c r="B316" s="49">
        <v>2</v>
      </c>
      <c r="C316" s="56">
        <v>3</v>
      </c>
      <c r="D316" s="57" t="s">
        <v>1035</v>
      </c>
      <c r="E316" s="53" t="s">
        <v>2271</v>
      </c>
      <c r="F316" s="33" t="s">
        <v>2283</v>
      </c>
      <c r="G316" s="130" t="s">
        <v>2284</v>
      </c>
      <c r="H316" s="42" t="s">
        <v>797</v>
      </c>
      <c r="I316" s="51" t="s">
        <v>19</v>
      </c>
      <c r="J316" s="65"/>
      <c r="K316" s="65"/>
      <c r="L316" s="65" t="s">
        <v>2274</v>
      </c>
      <c r="M316" s="65"/>
    </row>
    <row r="317" spans="1:13">
      <c r="A317" s="95" t="s">
        <v>2285</v>
      </c>
      <c r="B317" s="49">
        <v>2</v>
      </c>
      <c r="C317" s="56">
        <v>3</v>
      </c>
      <c r="D317" s="57" t="s">
        <v>1035</v>
      </c>
      <c r="E317" s="53" t="s">
        <v>2271</v>
      </c>
      <c r="F317" s="35" t="s">
        <v>2286</v>
      </c>
      <c r="G317" s="148" t="s">
        <v>2245</v>
      </c>
      <c r="H317" s="42" t="s">
        <v>2246</v>
      </c>
      <c r="I317" s="51" t="s">
        <v>19</v>
      </c>
      <c r="J317" s="65"/>
      <c r="K317" s="65"/>
      <c r="L317" s="65" t="s">
        <v>2274</v>
      </c>
      <c r="M317" s="51" t="s">
        <v>57</v>
      </c>
    </row>
    <row r="318" spans="1:13">
      <c r="A318" s="95" t="s">
        <v>2287</v>
      </c>
      <c r="B318" s="49">
        <v>2</v>
      </c>
      <c r="C318" s="56">
        <v>3</v>
      </c>
      <c r="D318" s="57" t="s">
        <v>1035</v>
      </c>
      <c r="E318" s="53" t="s">
        <v>2288</v>
      </c>
      <c r="F318" s="33" t="s">
        <v>2289</v>
      </c>
      <c r="G318" s="130" t="s">
        <v>2290</v>
      </c>
      <c r="H318" s="42" t="s">
        <v>2047</v>
      </c>
      <c r="I318" s="51" t="s">
        <v>19</v>
      </c>
      <c r="J318" s="65"/>
      <c r="K318" s="65"/>
      <c r="L318" s="65" t="s">
        <v>2274</v>
      </c>
      <c r="M318" s="65"/>
    </row>
    <row r="319" spans="1:13">
      <c r="A319" s="95" t="s">
        <v>2291</v>
      </c>
      <c r="B319" s="49">
        <v>2</v>
      </c>
      <c r="C319" s="56">
        <v>3</v>
      </c>
      <c r="D319" s="57" t="s">
        <v>1035</v>
      </c>
      <c r="E319" s="53" t="s">
        <v>2288</v>
      </c>
      <c r="F319" s="33" t="s">
        <v>2289</v>
      </c>
      <c r="G319" s="130" t="s">
        <v>2292</v>
      </c>
      <c r="H319" s="42" t="s">
        <v>797</v>
      </c>
      <c r="I319" s="51" t="s">
        <v>19</v>
      </c>
      <c r="J319" s="65"/>
      <c r="K319" s="65"/>
      <c r="L319" s="65" t="s">
        <v>2274</v>
      </c>
      <c r="M319" s="65"/>
    </row>
    <row r="320" spans="1:13">
      <c r="A320" s="95" t="s">
        <v>2293</v>
      </c>
      <c r="B320" s="49">
        <v>2</v>
      </c>
      <c r="C320" s="56">
        <v>3</v>
      </c>
      <c r="D320" s="57" t="s">
        <v>1035</v>
      </c>
      <c r="E320" s="53" t="s">
        <v>2288</v>
      </c>
      <c r="F320" s="33" t="s">
        <v>2289</v>
      </c>
      <c r="G320" s="130" t="s">
        <v>2294</v>
      </c>
      <c r="H320" s="42" t="s">
        <v>797</v>
      </c>
      <c r="I320" s="51" t="s">
        <v>19</v>
      </c>
      <c r="J320" s="65"/>
      <c r="K320" s="65"/>
      <c r="L320" s="65" t="s">
        <v>2274</v>
      </c>
      <c r="M320" s="65"/>
    </row>
    <row r="321" spans="1:13">
      <c r="A321" s="95" t="s">
        <v>2295</v>
      </c>
      <c r="B321" s="49">
        <v>2</v>
      </c>
      <c r="C321" s="56">
        <v>3</v>
      </c>
      <c r="D321" s="57" t="s">
        <v>1035</v>
      </c>
      <c r="E321" s="53" t="s">
        <v>2288</v>
      </c>
      <c r="F321" s="33" t="s">
        <v>2289</v>
      </c>
      <c r="G321" s="130" t="s">
        <v>2296</v>
      </c>
      <c r="H321" s="42" t="s">
        <v>797</v>
      </c>
      <c r="I321" s="51" t="s">
        <v>19</v>
      </c>
      <c r="J321" s="65"/>
      <c r="K321" s="65"/>
      <c r="L321" s="65" t="s">
        <v>2274</v>
      </c>
      <c r="M321" s="65"/>
    </row>
    <row r="322" spans="1:13">
      <c r="A322" s="95" t="s">
        <v>2297</v>
      </c>
      <c r="B322" s="49">
        <v>2</v>
      </c>
      <c r="C322" s="56">
        <v>3</v>
      </c>
      <c r="D322" s="57" t="s">
        <v>1035</v>
      </c>
      <c r="E322" s="53" t="s">
        <v>2288</v>
      </c>
      <c r="F322" s="33" t="s">
        <v>2298</v>
      </c>
      <c r="G322" s="130" t="s">
        <v>2299</v>
      </c>
      <c r="H322" s="42" t="s">
        <v>797</v>
      </c>
      <c r="I322" s="51" t="s">
        <v>19</v>
      </c>
      <c r="J322" s="65"/>
      <c r="K322" s="65"/>
      <c r="L322" s="65" t="s">
        <v>2274</v>
      </c>
      <c r="M322" s="65"/>
    </row>
    <row r="323" spans="1:13">
      <c r="A323" s="95" t="s">
        <v>2300</v>
      </c>
      <c r="B323" s="49">
        <v>2</v>
      </c>
      <c r="C323" s="56">
        <v>3</v>
      </c>
      <c r="D323" s="57" t="s">
        <v>1035</v>
      </c>
      <c r="E323" s="53" t="s">
        <v>2288</v>
      </c>
      <c r="F323" s="33" t="s">
        <v>2298</v>
      </c>
      <c r="G323" s="130" t="s">
        <v>2301</v>
      </c>
      <c r="H323" s="42" t="s">
        <v>797</v>
      </c>
      <c r="I323" s="51" t="s">
        <v>19</v>
      </c>
      <c r="J323" s="65"/>
      <c r="K323" s="65"/>
      <c r="L323" s="65" t="s">
        <v>2274</v>
      </c>
      <c r="M323" s="65" t="s">
        <v>2302</v>
      </c>
    </row>
    <row r="324" spans="1:13">
      <c r="A324" s="95" t="s">
        <v>2303</v>
      </c>
      <c r="B324" s="49">
        <v>2</v>
      </c>
      <c r="C324" s="56">
        <v>3</v>
      </c>
      <c r="D324" s="57" t="s">
        <v>1035</v>
      </c>
      <c r="E324" s="53" t="s">
        <v>2288</v>
      </c>
      <c r="F324" s="33" t="s">
        <v>2298</v>
      </c>
      <c r="G324" s="130" t="s">
        <v>2304</v>
      </c>
      <c r="H324" s="42" t="s">
        <v>797</v>
      </c>
      <c r="I324" s="51" t="s">
        <v>19</v>
      </c>
      <c r="J324" s="65"/>
      <c r="K324" s="65"/>
      <c r="L324" s="65" t="s">
        <v>2274</v>
      </c>
      <c r="M324" s="65" t="s">
        <v>2302</v>
      </c>
    </row>
    <row r="325" spans="1:13">
      <c r="A325" s="95" t="s">
        <v>2305</v>
      </c>
      <c r="B325" s="49">
        <v>2</v>
      </c>
      <c r="C325" s="56">
        <v>3</v>
      </c>
      <c r="D325" s="57" t="s">
        <v>1035</v>
      </c>
      <c r="E325" s="53" t="s">
        <v>2288</v>
      </c>
      <c r="F325" s="33" t="s">
        <v>2298</v>
      </c>
      <c r="G325" s="130" t="s">
        <v>2306</v>
      </c>
      <c r="H325" s="42" t="s">
        <v>797</v>
      </c>
      <c r="I325" s="51" t="s">
        <v>19</v>
      </c>
      <c r="J325" s="65"/>
      <c r="K325" s="65"/>
      <c r="L325" s="65" t="s">
        <v>2274</v>
      </c>
      <c r="M325" s="65" t="s">
        <v>2302</v>
      </c>
    </row>
  </sheetData>
  <autoFilter ref="A1:M325" xr:uid="{A21E545B-6CDF-4156-A3EE-751DD3B19D0F}"/>
  <phoneticPr fontId="2" type="noConversion"/>
  <conditionalFormatting sqref="A1">
    <cfRule type="cellIs" dxfId="12" priority="4" operator="equal">
      <formula>1</formula>
    </cfRule>
    <cfRule type="cellIs" dxfId="11" priority="5" operator="equal">
      <formula>2</formula>
    </cfRule>
    <cfRule type="cellIs" dxfId="10" priority="6" operator="equal">
      <formula>3</formula>
    </cfRule>
  </conditionalFormatting>
  <conditionalFormatting sqref="B1:C244 B246:C1048576">
    <cfRule type="cellIs" dxfId="9" priority="7" operator="equal">
      <formula>1</formula>
    </cfRule>
    <cfRule type="cellIs" dxfId="8" priority="8" operator="equal">
      <formula>2</formula>
    </cfRule>
    <cfRule type="cellIs" dxfId="7" priority="9" operator="equal">
      <formula>3</formula>
    </cfRule>
  </conditionalFormatting>
  <conditionalFormatting sqref="C245">
    <cfRule type="cellIs" dxfId="6" priority="1" operator="equal">
      <formula>1</formula>
    </cfRule>
    <cfRule type="cellIs" dxfId="5" priority="2" operator="equal">
      <formula>2</formula>
    </cfRule>
    <cfRule type="cellIs" dxfId="4" priority="3" operator="equal">
      <formula>3</formula>
    </cfRule>
  </conditionalFormatting>
  <hyperlinks>
    <hyperlink ref="L175:L176" r:id="rId1" display="FSL" xr:uid="{733F27C5-EDAD-4BAA-B1DF-DCD5AF64F714}"/>
    <hyperlink ref="L194" r:id="rId2" xr:uid="{B1AE14E1-9816-49BA-BFBE-383EC11DACCD}"/>
    <hyperlink ref="L193" r:id="rId3" xr:uid="{15699A83-E0E2-493A-AAE1-7838DBB03DC2}"/>
    <hyperlink ref="L195:L203" r:id="rId4" display="ILO" xr:uid="{26F48F10-1779-41D7-81F7-EB20F08763D4}"/>
    <hyperlink ref="L204" r:id="rId5" xr:uid="{F7790B01-88A6-4A0B-A0C7-F61FB4C65663}"/>
    <hyperlink ref="L205:L207" r:id="rId6" display="ILO" xr:uid="{94DB04AE-1DB9-4471-B367-70C9ECD19FE7}"/>
  </hyperlinks>
  <pageMargins left="0.7" right="0.7" top="0.75" bottom="0.75" header="0.3" footer="0.3"/>
  <pageSetup paperSize="9" orientation="portrait" verticalDpi="0" r:id="rId7"/>
  <legacyDrawing r:id="rId8"/>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68900-9CDF-48E7-8398-E07950B76523}">
  <sheetPr codeName="Sheet2"/>
  <dimension ref="A1:M134"/>
  <sheetViews>
    <sheetView zoomScale="85" zoomScaleNormal="85" workbookViewId="0">
      <pane ySplit="1" topLeftCell="A116" activePane="bottomLeft" state="frozen"/>
      <selection activeCell="C1" sqref="C1"/>
      <selection pane="bottomLeft" activeCell="G88" sqref="G88"/>
    </sheetView>
  </sheetViews>
  <sheetFormatPr defaultColWidth="8.54296875" defaultRowHeight="16"/>
  <cols>
    <col min="1" max="1" width="8.54296875" style="94"/>
    <col min="2" max="2" width="14.453125" style="27" customWidth="1"/>
    <col min="3" max="3" width="14.453125" style="28" customWidth="1"/>
    <col min="4" max="4" width="21.453125" style="23" customWidth="1"/>
    <col min="5" max="5" width="29.81640625" style="22" customWidth="1"/>
    <col min="6" max="6" width="2.54296875" style="24" customWidth="1"/>
    <col min="7" max="7" width="83.7265625" style="114" customWidth="1"/>
    <col min="8" max="8" width="29.81640625" style="22" customWidth="1"/>
    <col min="9" max="9" width="12.7265625" style="23" customWidth="1"/>
    <col min="10" max="10" width="12.7265625" style="68" customWidth="1"/>
    <col min="11" max="11" width="17.81640625" style="26" customWidth="1"/>
    <col min="12" max="12" width="11.54296875" style="73" customWidth="1"/>
    <col min="13" max="13" width="32.1796875" style="23" customWidth="1"/>
    <col min="14" max="16384" width="8.54296875" style="24"/>
  </cols>
  <sheetData>
    <row r="1" spans="1:13" s="93" customFormat="1">
      <c r="A1" s="104" t="s">
        <v>0</v>
      </c>
      <c r="B1" s="86" t="s">
        <v>1</v>
      </c>
      <c r="C1" s="87" t="s">
        <v>2</v>
      </c>
      <c r="D1" s="88" t="s">
        <v>3</v>
      </c>
      <c r="E1" s="88" t="s">
        <v>4</v>
      </c>
      <c r="F1" s="89" t="s">
        <v>5</v>
      </c>
      <c r="G1" s="113" t="s">
        <v>6</v>
      </c>
      <c r="H1" s="91" t="s">
        <v>7</v>
      </c>
      <c r="I1" s="92" t="s">
        <v>8</v>
      </c>
      <c r="J1" s="88" t="s">
        <v>9</v>
      </c>
      <c r="K1" s="91" t="s">
        <v>10</v>
      </c>
      <c r="L1" s="88" t="s">
        <v>11</v>
      </c>
      <c r="M1" s="88" t="s">
        <v>12</v>
      </c>
    </row>
    <row r="2" spans="1:13">
      <c r="A2" s="53" t="s">
        <v>2307</v>
      </c>
      <c r="B2" s="47">
        <v>2</v>
      </c>
      <c r="C2" s="55">
        <v>2</v>
      </c>
      <c r="D2" s="57" t="s">
        <v>2308</v>
      </c>
      <c r="E2" s="51" t="s">
        <v>2309</v>
      </c>
      <c r="F2" s="36" t="s">
        <v>2310</v>
      </c>
      <c r="G2" s="116" t="s">
        <v>2311</v>
      </c>
      <c r="H2" s="42" t="s">
        <v>2312</v>
      </c>
      <c r="I2" s="51" t="s">
        <v>33</v>
      </c>
      <c r="J2" s="65"/>
      <c r="K2" s="51" t="s">
        <v>20</v>
      </c>
      <c r="L2" s="70"/>
      <c r="M2" s="61"/>
    </row>
    <row r="3" spans="1:13">
      <c r="A3" s="53" t="s">
        <v>2313</v>
      </c>
      <c r="B3" s="47">
        <v>1</v>
      </c>
      <c r="C3" s="55">
        <v>1</v>
      </c>
      <c r="D3" s="57" t="s">
        <v>2308</v>
      </c>
      <c r="E3" s="51" t="s">
        <v>2309</v>
      </c>
      <c r="F3" s="36" t="s">
        <v>2314</v>
      </c>
      <c r="G3" s="116" t="s">
        <v>2315</v>
      </c>
      <c r="H3" s="42" t="s">
        <v>2312</v>
      </c>
      <c r="I3" s="51" t="s">
        <v>33</v>
      </c>
      <c r="J3" s="65" t="s">
        <v>2316</v>
      </c>
      <c r="K3" s="51" t="s">
        <v>123</v>
      </c>
      <c r="L3" s="69" t="s">
        <v>2317</v>
      </c>
      <c r="M3" s="51"/>
    </row>
    <row r="4" spans="1:13">
      <c r="A4" s="53" t="s">
        <v>2318</v>
      </c>
      <c r="B4" s="47">
        <v>2</v>
      </c>
      <c r="C4" s="55">
        <v>2</v>
      </c>
      <c r="D4" s="57" t="s">
        <v>2308</v>
      </c>
      <c r="E4" s="51" t="s">
        <v>88</v>
      </c>
      <c r="F4" s="36" t="s">
        <v>2319</v>
      </c>
      <c r="G4" s="116" t="s">
        <v>2320</v>
      </c>
      <c r="H4" s="42" t="s">
        <v>97</v>
      </c>
      <c r="I4" s="51" t="s">
        <v>33</v>
      </c>
      <c r="J4" s="65"/>
      <c r="K4" s="51" t="s">
        <v>20</v>
      </c>
      <c r="L4" s="64"/>
      <c r="M4" s="61"/>
    </row>
    <row r="5" spans="1:13">
      <c r="A5" s="53" t="s">
        <v>2321</v>
      </c>
      <c r="B5" s="47">
        <v>1</v>
      </c>
      <c r="C5" s="55">
        <v>1</v>
      </c>
      <c r="D5" s="57" t="s">
        <v>2308</v>
      </c>
      <c r="E5" s="51" t="s">
        <v>88</v>
      </c>
      <c r="F5" s="36" t="s">
        <v>2322</v>
      </c>
      <c r="G5" s="116" t="s">
        <v>2323</v>
      </c>
      <c r="H5" s="42" t="s">
        <v>97</v>
      </c>
      <c r="I5" s="51" t="s">
        <v>33</v>
      </c>
      <c r="J5" s="65" t="s">
        <v>2324</v>
      </c>
      <c r="K5" s="51" t="s">
        <v>88</v>
      </c>
      <c r="L5" s="69" t="s">
        <v>2317</v>
      </c>
      <c r="M5" s="51"/>
    </row>
    <row r="6" spans="1:13" ht="32">
      <c r="A6" s="53" t="s">
        <v>2325</v>
      </c>
      <c r="B6" s="47">
        <v>1</v>
      </c>
      <c r="C6" s="55">
        <v>1</v>
      </c>
      <c r="D6" s="57" t="s">
        <v>2308</v>
      </c>
      <c r="E6" s="53" t="s">
        <v>2326</v>
      </c>
      <c r="F6" s="33" t="s">
        <v>2327</v>
      </c>
      <c r="G6" s="116" t="s">
        <v>2328</v>
      </c>
      <c r="H6" s="42" t="s">
        <v>2312</v>
      </c>
      <c r="I6" s="51" t="s">
        <v>33</v>
      </c>
      <c r="J6" s="65" t="s">
        <v>2329</v>
      </c>
      <c r="K6" s="51" t="s">
        <v>123</v>
      </c>
      <c r="L6" s="69" t="s">
        <v>2317</v>
      </c>
      <c r="M6" s="51" t="s">
        <v>2330</v>
      </c>
    </row>
    <row r="7" spans="1:13" ht="32">
      <c r="A7" s="53" t="s">
        <v>2331</v>
      </c>
      <c r="B7" s="47">
        <v>1</v>
      </c>
      <c r="C7" s="55">
        <v>1</v>
      </c>
      <c r="D7" s="57" t="s">
        <v>2308</v>
      </c>
      <c r="E7" s="53" t="s">
        <v>2326</v>
      </c>
      <c r="F7" s="33" t="s">
        <v>2327</v>
      </c>
      <c r="G7" s="116" t="s">
        <v>2332</v>
      </c>
      <c r="H7" s="42" t="s">
        <v>2312</v>
      </c>
      <c r="I7" s="51" t="s">
        <v>33</v>
      </c>
      <c r="J7" s="65" t="s">
        <v>2329</v>
      </c>
      <c r="K7" s="51" t="s">
        <v>123</v>
      </c>
      <c r="L7" s="69" t="s">
        <v>2317</v>
      </c>
      <c r="M7" s="51" t="s">
        <v>2330</v>
      </c>
    </row>
    <row r="8" spans="1:13">
      <c r="A8" s="53" t="s">
        <v>2333</v>
      </c>
      <c r="B8" s="47">
        <v>1</v>
      </c>
      <c r="C8" s="55">
        <v>1</v>
      </c>
      <c r="D8" s="57" t="s">
        <v>2308</v>
      </c>
      <c r="E8" s="53" t="s">
        <v>2334</v>
      </c>
      <c r="F8" s="33" t="s">
        <v>2335</v>
      </c>
      <c r="G8" s="116" t="s">
        <v>2336</v>
      </c>
      <c r="H8" s="42" t="s">
        <v>2337</v>
      </c>
      <c r="I8" s="51" t="s">
        <v>33</v>
      </c>
      <c r="J8" s="65" t="s">
        <v>2338</v>
      </c>
      <c r="K8" s="51" t="s">
        <v>20</v>
      </c>
      <c r="L8" s="70"/>
      <c r="M8" s="51"/>
    </row>
    <row r="9" spans="1:13">
      <c r="A9" s="53" t="s">
        <v>2339</v>
      </c>
      <c r="B9" s="47">
        <v>2</v>
      </c>
      <c r="C9" s="55">
        <v>2</v>
      </c>
      <c r="D9" s="57" t="s">
        <v>2308</v>
      </c>
      <c r="E9" s="51" t="s">
        <v>2340</v>
      </c>
      <c r="F9" s="36" t="s">
        <v>2341</v>
      </c>
      <c r="G9" s="116" t="s">
        <v>2342</v>
      </c>
      <c r="H9" s="42"/>
      <c r="I9" s="51" t="s">
        <v>33</v>
      </c>
      <c r="J9" s="65"/>
      <c r="K9" s="51" t="s">
        <v>20</v>
      </c>
      <c r="L9" s="70"/>
      <c r="M9" s="51" t="s">
        <v>2342</v>
      </c>
    </row>
    <row r="10" spans="1:13">
      <c r="A10" s="53" t="s">
        <v>2343</v>
      </c>
      <c r="B10" s="47"/>
      <c r="C10" s="55">
        <v>3</v>
      </c>
      <c r="D10" s="57" t="s">
        <v>2308</v>
      </c>
      <c r="E10" s="53" t="s">
        <v>2344</v>
      </c>
      <c r="F10" s="33" t="s">
        <v>2345</v>
      </c>
      <c r="G10" s="116" t="s">
        <v>2346</v>
      </c>
      <c r="H10" s="42" t="s">
        <v>2347</v>
      </c>
      <c r="I10" s="51" t="s">
        <v>33</v>
      </c>
      <c r="J10" s="65"/>
      <c r="K10" s="51" t="s">
        <v>123</v>
      </c>
      <c r="L10" s="70"/>
      <c r="M10" s="51"/>
    </row>
    <row r="11" spans="1:13">
      <c r="A11" s="53" t="s">
        <v>2348</v>
      </c>
      <c r="B11" s="47"/>
      <c r="C11" s="55">
        <v>2</v>
      </c>
      <c r="D11" s="57" t="s">
        <v>2308</v>
      </c>
      <c r="E11" s="51" t="s">
        <v>2349</v>
      </c>
      <c r="F11" s="36" t="s">
        <v>2350</v>
      </c>
      <c r="G11" s="116" t="s">
        <v>2351</v>
      </c>
      <c r="H11" s="42" t="s">
        <v>2352</v>
      </c>
      <c r="I11" s="51" t="s">
        <v>33</v>
      </c>
      <c r="J11" s="65" t="s">
        <v>2353</v>
      </c>
      <c r="K11" s="51" t="s">
        <v>20</v>
      </c>
      <c r="L11" s="69" t="s">
        <v>2317</v>
      </c>
      <c r="M11" s="51" t="s">
        <v>2354</v>
      </c>
    </row>
    <row r="12" spans="1:13">
      <c r="A12" s="53" t="s">
        <v>2355</v>
      </c>
      <c r="B12" s="47"/>
      <c r="C12" s="55">
        <v>2</v>
      </c>
      <c r="D12" s="57" t="s">
        <v>2308</v>
      </c>
      <c r="E12" s="51" t="s">
        <v>2349</v>
      </c>
      <c r="F12" s="36" t="s">
        <v>2356</v>
      </c>
      <c r="G12" s="116" t="s">
        <v>2357</v>
      </c>
      <c r="H12" s="42" t="s">
        <v>2352</v>
      </c>
      <c r="I12" s="51" t="s">
        <v>33</v>
      </c>
      <c r="J12" s="65" t="s">
        <v>2358</v>
      </c>
      <c r="K12" s="51" t="s">
        <v>20</v>
      </c>
      <c r="L12" s="69" t="s">
        <v>2317</v>
      </c>
      <c r="M12" s="51" t="s">
        <v>2354</v>
      </c>
    </row>
    <row r="13" spans="1:13">
      <c r="A13" s="53" t="s">
        <v>2359</v>
      </c>
      <c r="B13" s="47"/>
      <c r="C13" s="55">
        <v>2</v>
      </c>
      <c r="D13" s="57" t="s">
        <v>2308</v>
      </c>
      <c r="E13" s="51" t="s">
        <v>2349</v>
      </c>
      <c r="F13" s="36" t="s">
        <v>2360</v>
      </c>
      <c r="G13" s="116" t="s">
        <v>2361</v>
      </c>
      <c r="H13" s="42" t="s">
        <v>2352</v>
      </c>
      <c r="I13" s="51" t="s">
        <v>33</v>
      </c>
      <c r="J13" s="65" t="s">
        <v>2362</v>
      </c>
      <c r="K13" s="51" t="s">
        <v>20</v>
      </c>
      <c r="L13" s="69" t="s">
        <v>2317</v>
      </c>
      <c r="M13" s="51" t="s">
        <v>2354</v>
      </c>
    </row>
    <row r="14" spans="1:13">
      <c r="A14" s="53" t="s">
        <v>2363</v>
      </c>
      <c r="B14" s="47">
        <v>1</v>
      </c>
      <c r="C14" s="55">
        <v>2</v>
      </c>
      <c r="D14" s="57" t="s">
        <v>2308</v>
      </c>
      <c r="E14" s="51" t="s">
        <v>2349</v>
      </c>
      <c r="F14" s="33" t="s">
        <v>2364</v>
      </c>
      <c r="G14" s="116" t="s">
        <v>2365</v>
      </c>
      <c r="H14" s="42" t="s">
        <v>2352</v>
      </c>
      <c r="I14" s="51" t="s">
        <v>33</v>
      </c>
      <c r="J14" s="65" t="s">
        <v>2366</v>
      </c>
      <c r="K14" s="51" t="s">
        <v>20</v>
      </c>
      <c r="L14" s="69" t="s">
        <v>2317</v>
      </c>
      <c r="M14" s="51" t="s">
        <v>2354</v>
      </c>
    </row>
    <row r="15" spans="1:13">
      <c r="A15" s="53" t="s">
        <v>2367</v>
      </c>
      <c r="B15" s="47">
        <v>3</v>
      </c>
      <c r="C15" s="55">
        <v>2</v>
      </c>
      <c r="D15" s="57" t="s">
        <v>2308</v>
      </c>
      <c r="E15" s="53" t="s">
        <v>2368</v>
      </c>
      <c r="F15" s="33" t="s">
        <v>2369</v>
      </c>
      <c r="G15" s="116" t="s">
        <v>2370</v>
      </c>
      <c r="H15" s="42" t="s">
        <v>2371</v>
      </c>
      <c r="I15" s="51" t="s">
        <v>33</v>
      </c>
      <c r="J15" s="65" t="s">
        <v>2372</v>
      </c>
      <c r="K15" s="51" t="s">
        <v>123</v>
      </c>
      <c r="L15" s="99" t="s">
        <v>2373</v>
      </c>
      <c r="M15" s="105" t="s">
        <v>2374</v>
      </c>
    </row>
    <row r="16" spans="1:13" ht="32">
      <c r="A16" s="53" t="s">
        <v>2375</v>
      </c>
      <c r="B16" s="47">
        <v>3</v>
      </c>
      <c r="C16" s="55">
        <v>2</v>
      </c>
      <c r="D16" s="57" t="s">
        <v>2308</v>
      </c>
      <c r="E16" s="53" t="s">
        <v>2368</v>
      </c>
      <c r="F16" s="33" t="s">
        <v>2376</v>
      </c>
      <c r="G16" s="116" t="s">
        <v>2377</v>
      </c>
      <c r="H16" s="42" t="s">
        <v>2371</v>
      </c>
      <c r="I16" s="51" t="s">
        <v>33</v>
      </c>
      <c r="J16" s="65" t="s">
        <v>2372</v>
      </c>
      <c r="K16" s="51" t="s">
        <v>123</v>
      </c>
      <c r="L16" s="99" t="s">
        <v>2373</v>
      </c>
      <c r="M16" s="105" t="s">
        <v>2374</v>
      </c>
    </row>
    <row r="17" spans="1:13">
      <c r="A17" s="53" t="s">
        <v>2378</v>
      </c>
      <c r="B17" s="47">
        <v>3</v>
      </c>
      <c r="C17" s="55">
        <v>2</v>
      </c>
      <c r="D17" s="57" t="s">
        <v>2308</v>
      </c>
      <c r="E17" s="53" t="s">
        <v>2368</v>
      </c>
      <c r="F17" s="33" t="s">
        <v>2379</v>
      </c>
      <c r="G17" s="116" t="s">
        <v>2380</v>
      </c>
      <c r="H17" s="42" t="s">
        <v>2371</v>
      </c>
      <c r="I17" s="51" t="s">
        <v>33</v>
      </c>
      <c r="J17" s="65" t="s">
        <v>2372</v>
      </c>
      <c r="K17" s="51" t="s">
        <v>123</v>
      </c>
      <c r="L17" s="99" t="s">
        <v>2373</v>
      </c>
      <c r="M17" s="105" t="s">
        <v>2374</v>
      </c>
    </row>
    <row r="18" spans="1:13">
      <c r="A18" s="53" t="s">
        <v>2381</v>
      </c>
      <c r="B18" s="47">
        <v>3</v>
      </c>
      <c r="C18" s="55">
        <v>2</v>
      </c>
      <c r="D18" s="57" t="s">
        <v>2308</v>
      </c>
      <c r="E18" s="53" t="s">
        <v>2368</v>
      </c>
      <c r="F18" s="33" t="s">
        <v>2382</v>
      </c>
      <c r="G18" s="116" t="s">
        <v>2383</v>
      </c>
      <c r="H18" s="42" t="s">
        <v>2371</v>
      </c>
      <c r="I18" s="51" t="s">
        <v>33</v>
      </c>
      <c r="J18" s="65" t="s">
        <v>2372</v>
      </c>
      <c r="K18" s="51" t="s">
        <v>123</v>
      </c>
      <c r="L18" s="99" t="s">
        <v>2373</v>
      </c>
      <c r="M18" s="105" t="s">
        <v>2374</v>
      </c>
    </row>
    <row r="19" spans="1:13" ht="32">
      <c r="A19" s="53" t="s">
        <v>2384</v>
      </c>
      <c r="B19" s="47">
        <v>3</v>
      </c>
      <c r="C19" s="55">
        <v>2</v>
      </c>
      <c r="D19" s="57" t="s">
        <v>2308</v>
      </c>
      <c r="E19" s="53" t="s">
        <v>2368</v>
      </c>
      <c r="F19" s="33" t="s">
        <v>2385</v>
      </c>
      <c r="G19" s="116" t="s">
        <v>2386</v>
      </c>
      <c r="H19" s="42" t="s">
        <v>2371</v>
      </c>
      <c r="I19" s="51" t="s">
        <v>33</v>
      </c>
      <c r="J19" s="65" t="s">
        <v>2372</v>
      </c>
      <c r="K19" s="51" t="s">
        <v>123</v>
      </c>
      <c r="L19" s="99" t="s">
        <v>2373</v>
      </c>
      <c r="M19" s="105" t="s">
        <v>2374</v>
      </c>
    </row>
    <row r="20" spans="1:13" ht="32">
      <c r="A20" s="53" t="s">
        <v>2387</v>
      </c>
      <c r="B20" s="47">
        <v>3</v>
      </c>
      <c r="C20" s="55">
        <v>2</v>
      </c>
      <c r="D20" s="57" t="s">
        <v>2308</v>
      </c>
      <c r="E20" s="53" t="s">
        <v>2368</v>
      </c>
      <c r="F20" s="36" t="s">
        <v>2388</v>
      </c>
      <c r="G20" s="117" t="s">
        <v>2389</v>
      </c>
      <c r="H20" s="42" t="s">
        <v>2371</v>
      </c>
      <c r="I20" s="51" t="s">
        <v>33</v>
      </c>
      <c r="J20" s="65"/>
      <c r="K20" s="51" t="s">
        <v>346</v>
      </c>
      <c r="L20" s="69"/>
      <c r="M20" s="57"/>
    </row>
    <row r="21" spans="1:13">
      <c r="A21" s="53" t="s">
        <v>2390</v>
      </c>
      <c r="B21" s="47">
        <v>2</v>
      </c>
      <c r="C21" s="55">
        <v>2</v>
      </c>
      <c r="D21" s="57" t="s">
        <v>2308</v>
      </c>
      <c r="E21" s="53"/>
      <c r="F21" s="33" t="s">
        <v>2391</v>
      </c>
      <c r="G21" s="115" t="s">
        <v>2392</v>
      </c>
      <c r="H21" s="42" t="s">
        <v>18</v>
      </c>
      <c r="I21" s="51" t="s">
        <v>33</v>
      </c>
      <c r="J21" s="65" t="s">
        <v>2372</v>
      </c>
      <c r="K21" s="51" t="s">
        <v>88</v>
      </c>
      <c r="L21" s="69" t="s">
        <v>2317</v>
      </c>
      <c r="M21" s="51"/>
    </row>
    <row r="22" spans="1:13" ht="48">
      <c r="A22" s="53" t="s">
        <v>2393</v>
      </c>
      <c r="B22" s="47"/>
      <c r="C22" s="55">
        <v>2</v>
      </c>
      <c r="D22" s="57" t="s">
        <v>153</v>
      </c>
      <c r="E22" s="53" t="s">
        <v>2394</v>
      </c>
      <c r="F22" s="33" t="s">
        <v>2395</v>
      </c>
      <c r="G22" s="115" t="s">
        <v>2396</v>
      </c>
      <c r="H22" s="42" t="s">
        <v>18</v>
      </c>
      <c r="I22" s="51" t="s">
        <v>33</v>
      </c>
      <c r="J22" s="65" t="s">
        <v>2397</v>
      </c>
      <c r="K22" s="51" t="s">
        <v>20</v>
      </c>
      <c r="L22" s="69" t="s">
        <v>2317</v>
      </c>
      <c r="M22" s="51" t="s">
        <v>412</v>
      </c>
    </row>
    <row r="23" spans="1:13" ht="48">
      <c r="A23" s="53" t="s">
        <v>2398</v>
      </c>
      <c r="B23" s="47"/>
      <c r="C23" s="55">
        <v>2</v>
      </c>
      <c r="D23" s="57" t="s">
        <v>153</v>
      </c>
      <c r="E23" s="53" t="s">
        <v>2394</v>
      </c>
      <c r="F23" s="33" t="s">
        <v>2395</v>
      </c>
      <c r="G23" s="115" t="s">
        <v>2399</v>
      </c>
      <c r="H23" s="42" t="s">
        <v>2400</v>
      </c>
      <c r="I23" s="51" t="s">
        <v>33</v>
      </c>
      <c r="J23" s="65" t="s">
        <v>2401</v>
      </c>
      <c r="K23" s="51" t="s">
        <v>20</v>
      </c>
      <c r="L23" s="69" t="s">
        <v>2317</v>
      </c>
      <c r="M23" s="51" t="s">
        <v>412</v>
      </c>
    </row>
    <row r="24" spans="1:13" ht="48">
      <c r="A24" s="53" t="s">
        <v>2402</v>
      </c>
      <c r="B24" s="47"/>
      <c r="C24" s="55">
        <v>2</v>
      </c>
      <c r="D24" s="57" t="s">
        <v>153</v>
      </c>
      <c r="E24" s="53" t="s">
        <v>2394</v>
      </c>
      <c r="F24" s="33" t="s">
        <v>2395</v>
      </c>
      <c r="G24" s="115" t="s">
        <v>2403</v>
      </c>
      <c r="H24" s="42" t="s">
        <v>2404</v>
      </c>
      <c r="I24" s="51" t="s">
        <v>33</v>
      </c>
      <c r="J24" s="65" t="s">
        <v>2405</v>
      </c>
      <c r="K24" s="51" t="s">
        <v>20</v>
      </c>
      <c r="L24" s="69" t="s">
        <v>2317</v>
      </c>
      <c r="M24" s="51" t="s">
        <v>412</v>
      </c>
    </row>
    <row r="25" spans="1:13" ht="48">
      <c r="A25" s="53" t="s">
        <v>2406</v>
      </c>
      <c r="B25" s="47"/>
      <c r="C25" s="55">
        <v>2</v>
      </c>
      <c r="D25" s="57" t="s">
        <v>153</v>
      </c>
      <c r="E25" s="53" t="s">
        <v>2394</v>
      </c>
      <c r="F25" s="33" t="s">
        <v>2395</v>
      </c>
      <c r="G25" s="115" t="s">
        <v>2407</v>
      </c>
      <c r="H25" s="42" t="s">
        <v>2404</v>
      </c>
      <c r="I25" s="51" t="s">
        <v>33</v>
      </c>
      <c r="J25" s="65" t="s">
        <v>2408</v>
      </c>
      <c r="K25" s="51" t="s">
        <v>20</v>
      </c>
      <c r="L25" s="69" t="s">
        <v>2317</v>
      </c>
      <c r="M25" s="51" t="s">
        <v>412</v>
      </c>
    </row>
    <row r="26" spans="1:13" ht="32">
      <c r="A26" s="53" t="s">
        <v>2409</v>
      </c>
      <c r="B26" s="47"/>
      <c r="C26" s="55">
        <v>2</v>
      </c>
      <c r="D26" s="57" t="s">
        <v>153</v>
      </c>
      <c r="E26" s="53" t="s">
        <v>2410</v>
      </c>
      <c r="F26" s="33" t="s">
        <v>2411</v>
      </c>
      <c r="G26" s="116" t="s">
        <v>2412</v>
      </c>
      <c r="H26" s="42" t="s">
        <v>18</v>
      </c>
      <c r="I26" s="51" t="s">
        <v>33</v>
      </c>
      <c r="J26" s="65" t="s">
        <v>2413</v>
      </c>
      <c r="K26" s="51" t="s">
        <v>20</v>
      </c>
      <c r="L26" s="69" t="s">
        <v>2317</v>
      </c>
      <c r="M26" s="51" t="s">
        <v>2414</v>
      </c>
    </row>
    <row r="27" spans="1:13" ht="32">
      <c r="A27" s="53" t="s">
        <v>2415</v>
      </c>
      <c r="B27" s="47"/>
      <c r="C27" s="55">
        <v>2</v>
      </c>
      <c r="D27" s="57" t="s">
        <v>153</v>
      </c>
      <c r="E27" s="53" t="s">
        <v>2410</v>
      </c>
      <c r="F27" s="33" t="s">
        <v>2411</v>
      </c>
      <c r="G27" s="116" t="s">
        <v>2416</v>
      </c>
      <c r="H27" s="42" t="s">
        <v>2417</v>
      </c>
      <c r="I27" s="51" t="s">
        <v>33</v>
      </c>
      <c r="J27" s="65" t="s">
        <v>2418</v>
      </c>
      <c r="K27" s="51" t="s">
        <v>20</v>
      </c>
      <c r="L27" s="69" t="s">
        <v>2317</v>
      </c>
      <c r="M27" s="51" t="s">
        <v>412</v>
      </c>
    </row>
    <row r="28" spans="1:13" ht="32">
      <c r="A28" s="53" t="s">
        <v>2419</v>
      </c>
      <c r="B28" s="47"/>
      <c r="C28" s="55">
        <v>2</v>
      </c>
      <c r="D28" s="57" t="s">
        <v>153</v>
      </c>
      <c r="E28" s="53" t="s">
        <v>2410</v>
      </c>
      <c r="F28" s="33" t="s">
        <v>2411</v>
      </c>
      <c r="G28" s="116" t="s">
        <v>2420</v>
      </c>
      <c r="H28" s="42" t="s">
        <v>2421</v>
      </c>
      <c r="I28" s="51" t="s">
        <v>33</v>
      </c>
      <c r="J28" s="65" t="s">
        <v>2422</v>
      </c>
      <c r="K28" s="51" t="s">
        <v>20</v>
      </c>
      <c r="L28" s="69" t="s">
        <v>2317</v>
      </c>
      <c r="M28" s="51" t="s">
        <v>412</v>
      </c>
    </row>
    <row r="29" spans="1:13" ht="32">
      <c r="A29" s="53" t="s">
        <v>2423</v>
      </c>
      <c r="B29" s="47"/>
      <c r="C29" s="55">
        <v>1</v>
      </c>
      <c r="D29" s="57" t="s">
        <v>153</v>
      </c>
      <c r="E29" s="53" t="s">
        <v>2410</v>
      </c>
      <c r="F29" s="33" t="s">
        <v>2424</v>
      </c>
      <c r="G29" s="116" t="s">
        <v>2412</v>
      </c>
      <c r="H29" s="42"/>
      <c r="I29" s="51" t="s">
        <v>33</v>
      </c>
      <c r="J29" s="65" t="s">
        <v>2425</v>
      </c>
      <c r="K29" s="51" t="s">
        <v>20</v>
      </c>
      <c r="L29" s="69" t="s">
        <v>2317</v>
      </c>
      <c r="M29" s="51" t="s">
        <v>2426</v>
      </c>
    </row>
    <row r="30" spans="1:13" ht="32">
      <c r="A30" s="53" t="s">
        <v>2427</v>
      </c>
      <c r="B30" s="47"/>
      <c r="C30" s="55">
        <v>1</v>
      </c>
      <c r="D30" s="57" t="s">
        <v>153</v>
      </c>
      <c r="E30" s="53" t="s">
        <v>2410</v>
      </c>
      <c r="F30" s="33" t="s">
        <v>2428</v>
      </c>
      <c r="G30" s="116" t="s">
        <v>2416</v>
      </c>
      <c r="H30" s="42"/>
      <c r="I30" s="51" t="s">
        <v>33</v>
      </c>
      <c r="J30" s="65" t="s">
        <v>2429</v>
      </c>
      <c r="K30" s="51" t="s">
        <v>20</v>
      </c>
      <c r="L30" s="69" t="s">
        <v>2317</v>
      </c>
      <c r="M30" s="51" t="s">
        <v>2430</v>
      </c>
    </row>
    <row r="31" spans="1:13" ht="32">
      <c r="A31" s="53" t="s">
        <v>2431</v>
      </c>
      <c r="B31" s="47"/>
      <c r="C31" s="55">
        <v>1</v>
      </c>
      <c r="D31" s="57" t="s">
        <v>153</v>
      </c>
      <c r="E31" s="53" t="s">
        <v>2410</v>
      </c>
      <c r="F31" s="33" t="s">
        <v>2432</v>
      </c>
      <c r="G31" s="116" t="s">
        <v>2420</v>
      </c>
      <c r="H31" s="42"/>
      <c r="I31" s="51" t="s">
        <v>33</v>
      </c>
      <c r="J31" s="65" t="s">
        <v>2433</v>
      </c>
      <c r="K31" s="51" t="s">
        <v>20</v>
      </c>
      <c r="L31" s="69" t="s">
        <v>2317</v>
      </c>
      <c r="M31" s="51" t="s">
        <v>2430</v>
      </c>
    </row>
    <row r="32" spans="1:13" ht="48">
      <c r="A32" s="53" t="s">
        <v>2434</v>
      </c>
      <c r="B32" s="47"/>
      <c r="C32" s="55">
        <v>2</v>
      </c>
      <c r="D32" s="57" t="s">
        <v>153</v>
      </c>
      <c r="E32" s="53" t="s">
        <v>2435</v>
      </c>
      <c r="F32" s="33" t="s">
        <v>2436</v>
      </c>
      <c r="G32" s="116" t="s">
        <v>2437</v>
      </c>
      <c r="H32" s="42" t="s">
        <v>18</v>
      </c>
      <c r="I32" s="51" t="s">
        <v>33</v>
      </c>
      <c r="J32" s="65" t="s">
        <v>2438</v>
      </c>
      <c r="K32" s="51" t="s">
        <v>20</v>
      </c>
      <c r="L32" s="69" t="s">
        <v>2317</v>
      </c>
      <c r="M32" s="51" t="s">
        <v>412</v>
      </c>
    </row>
    <row r="33" spans="1:13" ht="48">
      <c r="A33" s="53" t="s">
        <v>2439</v>
      </c>
      <c r="B33" s="47"/>
      <c r="C33" s="55">
        <v>2</v>
      </c>
      <c r="D33" s="57" t="s">
        <v>153</v>
      </c>
      <c r="E33" s="53" t="s">
        <v>2435</v>
      </c>
      <c r="F33" s="33" t="s">
        <v>2436</v>
      </c>
      <c r="G33" s="116" t="s">
        <v>2440</v>
      </c>
      <c r="H33" s="42" t="s">
        <v>2441</v>
      </c>
      <c r="I33" s="51" t="s">
        <v>33</v>
      </c>
      <c r="J33" s="65" t="s">
        <v>2442</v>
      </c>
      <c r="K33" s="51" t="s">
        <v>20</v>
      </c>
      <c r="L33" s="69" t="s">
        <v>2317</v>
      </c>
      <c r="M33" s="51" t="s">
        <v>412</v>
      </c>
    </row>
    <row r="34" spans="1:13" ht="32">
      <c r="A34" s="53" t="s">
        <v>2443</v>
      </c>
      <c r="B34" s="47"/>
      <c r="C34" s="55">
        <v>2</v>
      </c>
      <c r="D34" s="57" t="s">
        <v>153</v>
      </c>
      <c r="E34" s="53" t="s">
        <v>2435</v>
      </c>
      <c r="F34" s="33" t="s">
        <v>2444</v>
      </c>
      <c r="G34" s="116" t="s">
        <v>2445</v>
      </c>
      <c r="H34" s="42" t="s">
        <v>18</v>
      </c>
      <c r="I34" s="51" t="s">
        <v>33</v>
      </c>
      <c r="J34" s="65" t="s">
        <v>2446</v>
      </c>
      <c r="K34" s="51" t="s">
        <v>20</v>
      </c>
      <c r="L34" s="69" t="s">
        <v>2317</v>
      </c>
      <c r="M34" s="51" t="s">
        <v>412</v>
      </c>
    </row>
    <row r="35" spans="1:13" ht="48">
      <c r="A35" s="53" t="s">
        <v>2447</v>
      </c>
      <c r="B35" s="47"/>
      <c r="C35" s="55">
        <v>2</v>
      </c>
      <c r="D35" s="57" t="s">
        <v>153</v>
      </c>
      <c r="E35" s="53" t="s">
        <v>2435</v>
      </c>
      <c r="F35" s="33" t="s">
        <v>2444</v>
      </c>
      <c r="G35" s="115" t="s">
        <v>2448</v>
      </c>
      <c r="H35" s="42" t="s">
        <v>2449</v>
      </c>
      <c r="I35" s="51" t="s">
        <v>33</v>
      </c>
      <c r="J35" s="65" t="s">
        <v>2450</v>
      </c>
      <c r="K35" s="51" t="s">
        <v>20</v>
      </c>
      <c r="L35" s="69" t="s">
        <v>2317</v>
      </c>
      <c r="M35" s="51" t="s">
        <v>412</v>
      </c>
    </row>
    <row r="36" spans="1:13" ht="48">
      <c r="A36" s="53" t="s">
        <v>2451</v>
      </c>
      <c r="B36" s="47"/>
      <c r="C36" s="55">
        <v>2</v>
      </c>
      <c r="D36" s="57" t="s">
        <v>153</v>
      </c>
      <c r="E36" s="53" t="s">
        <v>2435</v>
      </c>
      <c r="F36" s="33" t="s">
        <v>2452</v>
      </c>
      <c r="G36" s="115" t="s">
        <v>2453</v>
      </c>
      <c r="H36" s="42" t="s">
        <v>18</v>
      </c>
      <c r="I36" s="51" t="s">
        <v>33</v>
      </c>
      <c r="J36" s="65" t="s">
        <v>2454</v>
      </c>
      <c r="K36" s="51" t="s">
        <v>20</v>
      </c>
      <c r="L36" s="69" t="s">
        <v>2317</v>
      </c>
      <c r="M36" s="51" t="s">
        <v>412</v>
      </c>
    </row>
    <row r="37" spans="1:13" ht="48">
      <c r="A37" s="53" t="s">
        <v>2455</v>
      </c>
      <c r="B37" s="47"/>
      <c r="C37" s="55">
        <v>2</v>
      </c>
      <c r="D37" s="57" t="s">
        <v>153</v>
      </c>
      <c r="E37" s="53" t="s">
        <v>2435</v>
      </c>
      <c r="F37" s="33" t="s">
        <v>2452</v>
      </c>
      <c r="G37" s="115" t="s">
        <v>2456</v>
      </c>
      <c r="H37" s="42" t="s">
        <v>2457</v>
      </c>
      <c r="I37" s="51" t="s">
        <v>33</v>
      </c>
      <c r="J37" s="65" t="s">
        <v>2458</v>
      </c>
      <c r="K37" s="51" t="s">
        <v>20</v>
      </c>
      <c r="L37" s="69" t="s">
        <v>2317</v>
      </c>
      <c r="M37" s="51" t="s">
        <v>412</v>
      </c>
    </row>
    <row r="38" spans="1:13">
      <c r="A38" s="53" t="s">
        <v>2459</v>
      </c>
      <c r="B38" s="47">
        <v>1</v>
      </c>
      <c r="C38" s="55">
        <v>1</v>
      </c>
      <c r="D38" s="57" t="s">
        <v>153</v>
      </c>
      <c r="E38" s="59" t="s">
        <v>2460</v>
      </c>
      <c r="F38" s="34" t="s">
        <v>2461</v>
      </c>
      <c r="G38" s="116" t="s">
        <v>2462</v>
      </c>
      <c r="H38" s="42" t="s">
        <v>18</v>
      </c>
      <c r="I38" s="51" t="s">
        <v>33</v>
      </c>
      <c r="J38" s="65"/>
      <c r="K38" s="51" t="s">
        <v>20</v>
      </c>
      <c r="L38" s="69" t="s">
        <v>2463</v>
      </c>
      <c r="M38" s="51" t="s">
        <v>2464</v>
      </c>
    </row>
    <row r="39" spans="1:13" ht="17.25" customHeight="1">
      <c r="A39" s="53" t="s">
        <v>2465</v>
      </c>
      <c r="B39" s="47">
        <v>1</v>
      </c>
      <c r="C39" s="55">
        <v>1</v>
      </c>
      <c r="D39" s="57" t="s">
        <v>153</v>
      </c>
      <c r="E39" s="59" t="s">
        <v>2460</v>
      </c>
      <c r="F39" s="34" t="s">
        <v>2466</v>
      </c>
      <c r="G39" s="116" t="s">
        <v>2467</v>
      </c>
      <c r="H39" s="42" t="s">
        <v>2468</v>
      </c>
      <c r="I39" s="51" t="s">
        <v>33</v>
      </c>
      <c r="J39" s="65" t="s">
        <v>2469</v>
      </c>
      <c r="K39" s="51" t="s">
        <v>20</v>
      </c>
      <c r="L39" s="69" t="s">
        <v>2463</v>
      </c>
      <c r="M39" s="51" t="s">
        <v>2470</v>
      </c>
    </row>
    <row r="40" spans="1:13" ht="21" customHeight="1">
      <c r="A40" s="53" t="s">
        <v>2471</v>
      </c>
      <c r="B40" s="47">
        <v>1</v>
      </c>
      <c r="C40" s="55">
        <v>1</v>
      </c>
      <c r="D40" s="57" t="s">
        <v>153</v>
      </c>
      <c r="E40" s="59" t="s">
        <v>2460</v>
      </c>
      <c r="F40" s="34" t="s">
        <v>2472</v>
      </c>
      <c r="G40" s="116" t="s">
        <v>2473</v>
      </c>
      <c r="H40" s="42" t="s">
        <v>2474</v>
      </c>
      <c r="I40" s="51" t="s">
        <v>33</v>
      </c>
      <c r="J40" s="65" t="s">
        <v>2475</v>
      </c>
      <c r="K40" s="51" t="s">
        <v>20</v>
      </c>
      <c r="L40" s="69" t="s">
        <v>2463</v>
      </c>
      <c r="M40" s="51" t="s">
        <v>2470</v>
      </c>
    </row>
    <row r="41" spans="1:13" ht="21" customHeight="1">
      <c r="A41" s="53" t="s">
        <v>2476</v>
      </c>
      <c r="B41" s="47">
        <v>1</v>
      </c>
      <c r="C41" s="55">
        <v>1</v>
      </c>
      <c r="D41" s="57" t="s">
        <v>153</v>
      </c>
      <c r="E41" s="59" t="s">
        <v>2460</v>
      </c>
      <c r="F41" s="34" t="s">
        <v>2477</v>
      </c>
      <c r="G41" s="116" t="s">
        <v>2478</v>
      </c>
      <c r="H41" s="42" t="s">
        <v>2474</v>
      </c>
      <c r="I41" s="51" t="s">
        <v>33</v>
      </c>
      <c r="J41" s="65"/>
      <c r="K41" s="51" t="s">
        <v>20</v>
      </c>
      <c r="L41" s="69" t="s">
        <v>2463</v>
      </c>
      <c r="M41" s="51" t="s">
        <v>2479</v>
      </c>
    </row>
    <row r="42" spans="1:13" s="31" customFormat="1">
      <c r="A42" s="53" t="s">
        <v>2480</v>
      </c>
      <c r="B42" s="47">
        <v>1</v>
      </c>
      <c r="C42" s="55">
        <v>1</v>
      </c>
      <c r="D42" s="57" t="s">
        <v>153</v>
      </c>
      <c r="E42" s="59" t="s">
        <v>2460</v>
      </c>
      <c r="F42" s="34" t="s">
        <v>2481</v>
      </c>
      <c r="G42" s="116" t="s">
        <v>2482</v>
      </c>
      <c r="H42" s="42" t="s">
        <v>2483</v>
      </c>
      <c r="I42" s="51" t="s">
        <v>33</v>
      </c>
      <c r="J42" s="65" t="s">
        <v>2484</v>
      </c>
      <c r="K42" s="51" t="s">
        <v>20</v>
      </c>
      <c r="L42" s="69" t="s">
        <v>2463</v>
      </c>
      <c r="M42" s="51" t="s">
        <v>2479</v>
      </c>
    </row>
    <row r="43" spans="1:13">
      <c r="A43" s="53" t="s">
        <v>2485</v>
      </c>
      <c r="B43" s="47">
        <v>3</v>
      </c>
      <c r="C43" s="55">
        <v>3</v>
      </c>
      <c r="D43" s="57" t="s">
        <v>153</v>
      </c>
      <c r="E43" s="53" t="s">
        <v>2486</v>
      </c>
      <c r="F43" s="33" t="s">
        <v>2487</v>
      </c>
      <c r="G43" s="118" t="s">
        <v>2488</v>
      </c>
      <c r="H43" s="42" t="s">
        <v>18</v>
      </c>
      <c r="I43" s="51" t="s">
        <v>33</v>
      </c>
      <c r="J43" s="65" t="s">
        <v>2489</v>
      </c>
      <c r="K43" s="51" t="s">
        <v>20</v>
      </c>
      <c r="L43" s="69" t="s">
        <v>2317</v>
      </c>
      <c r="M43" s="51"/>
    </row>
    <row r="44" spans="1:13" ht="32">
      <c r="A44" s="53" t="s">
        <v>2490</v>
      </c>
      <c r="B44" s="47">
        <v>3</v>
      </c>
      <c r="C44" s="55">
        <v>3</v>
      </c>
      <c r="D44" s="57" t="s">
        <v>153</v>
      </c>
      <c r="E44" s="53" t="s">
        <v>2486</v>
      </c>
      <c r="F44" s="33" t="s">
        <v>2491</v>
      </c>
      <c r="G44" s="118" t="s">
        <v>2492</v>
      </c>
      <c r="H44" s="42" t="s">
        <v>18</v>
      </c>
      <c r="I44" s="51" t="s">
        <v>33</v>
      </c>
      <c r="J44" s="65" t="s">
        <v>2489</v>
      </c>
      <c r="K44" s="51" t="s">
        <v>20</v>
      </c>
      <c r="L44" s="69" t="s">
        <v>2317</v>
      </c>
      <c r="M44" s="51"/>
    </row>
    <row r="45" spans="1:13">
      <c r="A45" s="53" t="s">
        <v>2493</v>
      </c>
      <c r="B45" s="47"/>
      <c r="C45" s="55">
        <v>3</v>
      </c>
      <c r="D45" s="57" t="s">
        <v>153</v>
      </c>
      <c r="E45" s="53" t="s">
        <v>2494</v>
      </c>
      <c r="F45" s="33" t="s">
        <v>2495</v>
      </c>
      <c r="G45" s="115" t="s">
        <v>2496</v>
      </c>
      <c r="H45" s="42" t="s">
        <v>2312</v>
      </c>
      <c r="I45" s="51" t="s">
        <v>33</v>
      </c>
      <c r="J45" s="65" t="s">
        <v>2497</v>
      </c>
      <c r="K45" s="51" t="s">
        <v>20</v>
      </c>
      <c r="L45" s="69" t="s">
        <v>2317</v>
      </c>
      <c r="M45" s="51"/>
    </row>
    <row r="46" spans="1:13">
      <c r="A46" s="53" t="s">
        <v>2498</v>
      </c>
      <c r="B46" s="47"/>
      <c r="C46" s="55">
        <v>3</v>
      </c>
      <c r="D46" s="57" t="s">
        <v>153</v>
      </c>
      <c r="E46" s="53" t="s">
        <v>2494</v>
      </c>
      <c r="F46" s="33" t="s">
        <v>2499</v>
      </c>
      <c r="G46" s="115" t="s">
        <v>2500</v>
      </c>
      <c r="H46" s="42" t="s">
        <v>2312</v>
      </c>
      <c r="I46" s="51" t="s">
        <v>33</v>
      </c>
      <c r="J46" s="65" t="s">
        <v>2501</v>
      </c>
      <c r="K46" s="51" t="s">
        <v>20</v>
      </c>
      <c r="L46" s="69" t="s">
        <v>2317</v>
      </c>
      <c r="M46" s="51"/>
    </row>
    <row r="47" spans="1:13">
      <c r="A47" s="53" t="s">
        <v>2502</v>
      </c>
      <c r="B47" s="47">
        <v>2</v>
      </c>
      <c r="C47" s="55">
        <v>2</v>
      </c>
      <c r="D47" s="57" t="s">
        <v>153</v>
      </c>
      <c r="E47" s="53" t="s">
        <v>2503</v>
      </c>
      <c r="F47" s="33" t="s">
        <v>2504</v>
      </c>
      <c r="G47" s="115" t="s">
        <v>2505</v>
      </c>
      <c r="H47" s="42" t="s">
        <v>18</v>
      </c>
      <c r="I47" s="51" t="s">
        <v>33</v>
      </c>
      <c r="J47" s="65"/>
      <c r="K47" s="51" t="s">
        <v>20</v>
      </c>
      <c r="L47" s="69"/>
      <c r="M47" s="51"/>
    </row>
    <row r="48" spans="1:13">
      <c r="A48" s="53" t="s">
        <v>2506</v>
      </c>
      <c r="B48" s="47">
        <v>2</v>
      </c>
      <c r="C48" s="55">
        <v>2</v>
      </c>
      <c r="D48" s="57" t="s">
        <v>153</v>
      </c>
      <c r="E48" s="53" t="s">
        <v>2503</v>
      </c>
      <c r="F48" s="33" t="s">
        <v>2507</v>
      </c>
      <c r="G48" s="115" t="s">
        <v>2508</v>
      </c>
      <c r="H48" s="42" t="s">
        <v>18</v>
      </c>
      <c r="I48" s="51" t="s">
        <v>33</v>
      </c>
      <c r="J48" s="65"/>
      <c r="K48" s="51" t="s">
        <v>346</v>
      </c>
      <c r="L48" s="69"/>
      <c r="M48" s="51"/>
    </row>
    <row r="49" spans="1:13">
      <c r="A49" s="53" t="s">
        <v>2509</v>
      </c>
      <c r="B49" s="47">
        <v>2</v>
      </c>
      <c r="C49" s="55">
        <v>2</v>
      </c>
      <c r="D49" s="57" t="s">
        <v>153</v>
      </c>
      <c r="E49" s="53" t="s">
        <v>2503</v>
      </c>
      <c r="F49" s="33" t="s">
        <v>2510</v>
      </c>
      <c r="G49" s="115" t="s">
        <v>2511</v>
      </c>
      <c r="H49" s="42" t="s">
        <v>2312</v>
      </c>
      <c r="I49" s="51" t="s">
        <v>33</v>
      </c>
      <c r="J49" s="65"/>
      <c r="K49" s="51" t="s">
        <v>20</v>
      </c>
      <c r="L49" s="69"/>
      <c r="M49" s="51"/>
    </row>
    <row r="50" spans="1:13" ht="32">
      <c r="A50" s="53" t="s">
        <v>2512</v>
      </c>
      <c r="B50" s="47"/>
      <c r="C50" s="55">
        <v>1</v>
      </c>
      <c r="D50" s="57" t="s">
        <v>153</v>
      </c>
      <c r="E50" s="53" t="s">
        <v>2513</v>
      </c>
      <c r="F50" s="33" t="s">
        <v>2514</v>
      </c>
      <c r="G50" s="118" t="s">
        <v>2515</v>
      </c>
      <c r="H50" s="42" t="s">
        <v>18</v>
      </c>
      <c r="I50" s="51" t="s">
        <v>33</v>
      </c>
      <c r="J50" s="65" t="s">
        <v>2516</v>
      </c>
      <c r="K50" s="51" t="s">
        <v>20</v>
      </c>
      <c r="L50" s="69"/>
      <c r="M50" s="51" t="s">
        <v>2430</v>
      </c>
    </row>
    <row r="51" spans="1:13" ht="48">
      <c r="A51" s="53" t="s">
        <v>2517</v>
      </c>
      <c r="B51" s="47"/>
      <c r="C51" s="55">
        <v>1</v>
      </c>
      <c r="D51" s="57" t="s">
        <v>153</v>
      </c>
      <c r="E51" s="53" t="s">
        <v>2513</v>
      </c>
      <c r="F51" s="33" t="s">
        <v>2514</v>
      </c>
      <c r="G51" s="118" t="s">
        <v>2518</v>
      </c>
      <c r="H51" s="42" t="s">
        <v>2519</v>
      </c>
      <c r="I51" s="51" t="s">
        <v>33</v>
      </c>
      <c r="J51" s="65" t="s">
        <v>2520</v>
      </c>
      <c r="K51" s="51" t="s">
        <v>20</v>
      </c>
      <c r="L51" s="69"/>
      <c r="M51" s="51" t="s">
        <v>2430</v>
      </c>
    </row>
    <row r="52" spans="1:13" ht="32">
      <c r="A52" s="53" t="s">
        <v>2521</v>
      </c>
      <c r="B52" s="47"/>
      <c r="C52" s="55">
        <v>2</v>
      </c>
      <c r="D52" s="57" t="s">
        <v>153</v>
      </c>
      <c r="E52" s="53" t="s">
        <v>2513</v>
      </c>
      <c r="F52" s="33" t="s">
        <v>2522</v>
      </c>
      <c r="G52" s="118" t="s">
        <v>2523</v>
      </c>
      <c r="H52" s="42" t="s">
        <v>18</v>
      </c>
      <c r="I52" s="51" t="s">
        <v>33</v>
      </c>
      <c r="J52" s="65" t="s">
        <v>2524</v>
      </c>
      <c r="K52" s="51" t="s">
        <v>20</v>
      </c>
      <c r="L52" s="69"/>
      <c r="M52" s="51" t="s">
        <v>412</v>
      </c>
    </row>
    <row r="53" spans="1:13" ht="32">
      <c r="A53" s="53" t="s">
        <v>2525</v>
      </c>
      <c r="B53" s="47"/>
      <c r="C53" s="55">
        <v>2</v>
      </c>
      <c r="D53" s="57" t="s">
        <v>153</v>
      </c>
      <c r="E53" s="53" t="s">
        <v>2513</v>
      </c>
      <c r="F53" s="33" t="s">
        <v>2522</v>
      </c>
      <c r="G53" s="118" t="s">
        <v>2526</v>
      </c>
      <c r="H53" s="42" t="s">
        <v>2527</v>
      </c>
      <c r="I53" s="51" t="s">
        <v>33</v>
      </c>
      <c r="J53" s="65" t="s">
        <v>2528</v>
      </c>
      <c r="K53" s="51" t="s">
        <v>20</v>
      </c>
      <c r="L53" s="69"/>
      <c r="M53" s="51" t="s">
        <v>412</v>
      </c>
    </row>
    <row r="54" spans="1:13" ht="48">
      <c r="A54" s="53" t="s">
        <v>2529</v>
      </c>
      <c r="B54" s="47"/>
      <c r="C54" s="55">
        <v>2</v>
      </c>
      <c r="D54" s="57" t="s">
        <v>153</v>
      </c>
      <c r="E54" s="53" t="s">
        <v>2513</v>
      </c>
      <c r="F54" s="33" t="s">
        <v>2530</v>
      </c>
      <c r="G54" s="118" t="s">
        <v>2531</v>
      </c>
      <c r="H54" s="42" t="s">
        <v>2532</v>
      </c>
      <c r="I54" s="51" t="s">
        <v>33</v>
      </c>
      <c r="J54" s="65" t="s">
        <v>2533</v>
      </c>
      <c r="K54" s="51" t="s">
        <v>20</v>
      </c>
      <c r="L54" s="69"/>
      <c r="M54" s="51" t="s">
        <v>412</v>
      </c>
    </row>
    <row r="55" spans="1:13">
      <c r="A55" s="53" t="s">
        <v>2534</v>
      </c>
      <c r="B55" s="47"/>
      <c r="C55" s="55">
        <v>1</v>
      </c>
      <c r="D55" s="57" t="s">
        <v>153</v>
      </c>
      <c r="E55" s="53" t="s">
        <v>2535</v>
      </c>
      <c r="F55" s="33" t="s">
        <v>2536</v>
      </c>
      <c r="G55" s="115" t="s">
        <v>2537</v>
      </c>
      <c r="H55" s="42" t="s">
        <v>2538</v>
      </c>
      <c r="I55" s="51" t="s">
        <v>33</v>
      </c>
      <c r="J55" s="65" t="s">
        <v>2539</v>
      </c>
      <c r="K55" s="51" t="s">
        <v>20</v>
      </c>
      <c r="L55" s="69" t="s">
        <v>2317</v>
      </c>
      <c r="M55" s="51" t="s">
        <v>159</v>
      </c>
    </row>
    <row r="56" spans="1:13">
      <c r="A56" s="53" t="s">
        <v>2540</v>
      </c>
      <c r="B56" s="47"/>
      <c r="C56" s="55">
        <v>1</v>
      </c>
      <c r="D56" s="57" t="s">
        <v>153</v>
      </c>
      <c r="E56" s="53" t="s">
        <v>2541</v>
      </c>
      <c r="F56" s="33" t="s">
        <v>2542</v>
      </c>
      <c r="G56" s="115" t="s">
        <v>2543</v>
      </c>
      <c r="H56" s="42" t="s">
        <v>2544</v>
      </c>
      <c r="I56" s="51" t="s">
        <v>33</v>
      </c>
      <c r="J56" s="65" t="s">
        <v>2545</v>
      </c>
      <c r="K56" s="51" t="s">
        <v>20</v>
      </c>
      <c r="L56" s="69" t="s">
        <v>2317</v>
      </c>
      <c r="M56" s="51" t="s">
        <v>159</v>
      </c>
    </row>
    <row r="57" spans="1:13">
      <c r="A57" s="53" t="s">
        <v>2546</v>
      </c>
      <c r="B57" s="47"/>
      <c r="C57" s="55">
        <v>2</v>
      </c>
      <c r="D57" s="58" t="s">
        <v>213</v>
      </c>
      <c r="E57" s="52" t="s">
        <v>2547</v>
      </c>
      <c r="F57" s="37" t="s">
        <v>2548</v>
      </c>
      <c r="G57" s="195" t="s">
        <v>2549</v>
      </c>
      <c r="H57" s="100" t="s">
        <v>2550</v>
      </c>
      <c r="I57" s="51" t="s">
        <v>236</v>
      </c>
      <c r="J57" s="65"/>
      <c r="K57" s="51" t="s">
        <v>20</v>
      </c>
      <c r="L57" s="71"/>
      <c r="M57" s="52" t="s">
        <v>2551</v>
      </c>
    </row>
    <row r="58" spans="1:13">
      <c r="A58" s="53" t="s">
        <v>2552</v>
      </c>
      <c r="B58" s="47">
        <v>3</v>
      </c>
      <c r="C58" s="55">
        <v>3</v>
      </c>
      <c r="D58" s="57" t="s">
        <v>213</v>
      </c>
      <c r="E58" s="105" t="s">
        <v>29</v>
      </c>
      <c r="F58" s="37" t="s">
        <v>2553</v>
      </c>
      <c r="G58" s="122" t="s">
        <v>2554</v>
      </c>
      <c r="H58" s="236" t="s">
        <v>2555</v>
      </c>
      <c r="I58" s="51" t="s">
        <v>33</v>
      </c>
      <c r="J58" s="65"/>
      <c r="K58" s="51" t="s">
        <v>20</v>
      </c>
      <c r="L58" s="69"/>
      <c r="M58" s="51"/>
    </row>
    <row r="59" spans="1:13">
      <c r="A59" s="53" t="s">
        <v>2556</v>
      </c>
      <c r="B59" s="47">
        <v>3</v>
      </c>
      <c r="C59" s="55">
        <v>3</v>
      </c>
      <c r="D59" s="57" t="s">
        <v>213</v>
      </c>
      <c r="E59" s="105" t="s">
        <v>29</v>
      </c>
      <c r="F59" s="37" t="s">
        <v>2557</v>
      </c>
      <c r="G59" s="122" t="s">
        <v>2558</v>
      </c>
      <c r="H59" s="236" t="s">
        <v>2555</v>
      </c>
      <c r="I59" s="51"/>
      <c r="J59" s="65"/>
      <c r="K59" s="51"/>
      <c r="L59" s="69"/>
      <c r="M59" s="51"/>
    </row>
    <row r="60" spans="1:13">
      <c r="A60" s="53" t="s">
        <v>2559</v>
      </c>
      <c r="B60" s="47">
        <v>3</v>
      </c>
      <c r="C60" s="55">
        <v>3</v>
      </c>
      <c r="D60" s="57" t="s">
        <v>213</v>
      </c>
      <c r="E60" s="105" t="s">
        <v>29</v>
      </c>
      <c r="F60" s="37" t="s">
        <v>2560</v>
      </c>
      <c r="G60" s="123" t="s">
        <v>2561</v>
      </c>
      <c r="H60" s="42" t="s">
        <v>2562</v>
      </c>
      <c r="I60" s="51" t="s">
        <v>33</v>
      </c>
      <c r="J60" s="65"/>
      <c r="K60" s="51" t="s">
        <v>20</v>
      </c>
      <c r="L60" s="69"/>
      <c r="M60" s="51"/>
    </row>
    <row r="61" spans="1:13">
      <c r="A61" s="53" t="s">
        <v>2563</v>
      </c>
      <c r="B61" s="47"/>
      <c r="C61" s="55">
        <v>3</v>
      </c>
      <c r="D61" s="57" t="s">
        <v>213</v>
      </c>
      <c r="E61" s="51" t="s">
        <v>958</v>
      </c>
      <c r="F61" s="36" t="s">
        <v>2564</v>
      </c>
      <c r="G61" s="118" t="s">
        <v>2565</v>
      </c>
      <c r="H61" s="42" t="s">
        <v>2566</v>
      </c>
      <c r="I61" s="51" t="s">
        <v>236</v>
      </c>
      <c r="J61" s="65"/>
      <c r="K61" s="51" t="s">
        <v>20</v>
      </c>
      <c r="L61" s="69"/>
      <c r="M61" s="52" t="s">
        <v>2567</v>
      </c>
    </row>
    <row r="62" spans="1:13" s="101" customFormat="1">
      <c r="A62" s="53" t="s">
        <v>2568</v>
      </c>
      <c r="B62" s="47"/>
      <c r="C62" s="55">
        <v>3</v>
      </c>
      <c r="D62" s="57" t="s">
        <v>213</v>
      </c>
      <c r="E62" s="51" t="s">
        <v>958</v>
      </c>
      <c r="F62" s="36" t="s">
        <v>2569</v>
      </c>
      <c r="G62" s="118" t="s">
        <v>2570</v>
      </c>
      <c r="H62" s="42" t="s">
        <v>2571</v>
      </c>
      <c r="I62" s="51" t="s">
        <v>236</v>
      </c>
      <c r="J62" s="65"/>
      <c r="K62" s="51" t="s">
        <v>20</v>
      </c>
      <c r="L62" s="69"/>
      <c r="M62" s="52" t="s">
        <v>2567</v>
      </c>
    </row>
    <row r="63" spans="1:13" s="102" customFormat="1">
      <c r="A63" s="53" t="s">
        <v>2572</v>
      </c>
      <c r="B63" s="47"/>
      <c r="C63" s="55">
        <v>3</v>
      </c>
      <c r="D63" s="57" t="s">
        <v>213</v>
      </c>
      <c r="E63" s="51" t="s">
        <v>958</v>
      </c>
      <c r="F63" s="36" t="s">
        <v>2573</v>
      </c>
      <c r="G63" s="115" t="s">
        <v>2574</v>
      </c>
      <c r="H63" s="42" t="s">
        <v>2575</v>
      </c>
      <c r="I63" s="51" t="s">
        <v>236</v>
      </c>
      <c r="J63" s="65"/>
      <c r="K63" s="51" t="s">
        <v>20</v>
      </c>
      <c r="L63" s="69"/>
      <c r="M63" s="52" t="s">
        <v>2567</v>
      </c>
    </row>
    <row r="64" spans="1:13" s="102" customFormat="1">
      <c r="A64" s="53" t="s">
        <v>2576</v>
      </c>
      <c r="B64" s="47"/>
      <c r="C64" s="55">
        <v>3</v>
      </c>
      <c r="D64" s="57" t="s">
        <v>213</v>
      </c>
      <c r="E64" s="51" t="s">
        <v>958</v>
      </c>
      <c r="F64" s="36" t="s">
        <v>2577</v>
      </c>
      <c r="G64" s="115" t="s">
        <v>2578</v>
      </c>
      <c r="H64" s="42" t="s">
        <v>2579</v>
      </c>
      <c r="I64" s="51" t="s">
        <v>236</v>
      </c>
      <c r="J64" s="65"/>
      <c r="K64" s="51" t="s">
        <v>20</v>
      </c>
      <c r="L64" s="69"/>
      <c r="M64" s="52" t="s">
        <v>2567</v>
      </c>
    </row>
    <row r="65" spans="1:13" s="102" customFormat="1">
      <c r="A65" s="53" t="s">
        <v>2580</v>
      </c>
      <c r="B65" s="47">
        <v>3</v>
      </c>
      <c r="C65" s="55">
        <v>3</v>
      </c>
      <c r="D65" s="58" t="s">
        <v>213</v>
      </c>
      <c r="E65" s="52" t="s">
        <v>2581</v>
      </c>
      <c r="F65" s="103" t="s">
        <v>2582</v>
      </c>
      <c r="G65" s="124" t="s">
        <v>2583</v>
      </c>
      <c r="H65" s="42" t="s">
        <v>18</v>
      </c>
      <c r="I65" s="51" t="s">
        <v>19</v>
      </c>
      <c r="J65" s="66"/>
      <c r="K65" s="51" t="s">
        <v>20</v>
      </c>
      <c r="L65" s="71"/>
      <c r="M65" s="52" t="s">
        <v>57</v>
      </c>
    </row>
    <row r="66" spans="1:13" s="102" customFormat="1">
      <c r="A66" s="53" t="s">
        <v>2584</v>
      </c>
      <c r="B66" s="47">
        <v>3</v>
      </c>
      <c r="C66" s="55">
        <v>3</v>
      </c>
      <c r="D66" s="58" t="s">
        <v>213</v>
      </c>
      <c r="E66" s="52" t="s">
        <v>2581</v>
      </c>
      <c r="F66" s="103" t="s">
        <v>2582</v>
      </c>
      <c r="G66" s="124" t="s">
        <v>2585</v>
      </c>
      <c r="H66" s="42" t="s">
        <v>2586</v>
      </c>
      <c r="I66" s="51" t="s">
        <v>19</v>
      </c>
      <c r="J66" s="66"/>
      <c r="K66" s="51" t="s">
        <v>20</v>
      </c>
      <c r="L66" s="71"/>
      <c r="M66" s="52" t="s">
        <v>57</v>
      </c>
    </row>
    <row r="67" spans="1:13" s="102" customFormat="1" ht="32">
      <c r="A67" s="53" t="s">
        <v>2587</v>
      </c>
      <c r="B67" s="47"/>
      <c r="C67" s="55">
        <v>3</v>
      </c>
      <c r="D67" s="58" t="s">
        <v>213</v>
      </c>
      <c r="E67" s="52" t="s">
        <v>2581</v>
      </c>
      <c r="F67" s="37" t="s">
        <v>2588</v>
      </c>
      <c r="G67" s="116" t="s">
        <v>2589</v>
      </c>
      <c r="H67" s="42" t="s">
        <v>18</v>
      </c>
      <c r="I67" s="51" t="s">
        <v>19</v>
      </c>
      <c r="J67" s="66"/>
      <c r="K67" s="51" t="s">
        <v>20</v>
      </c>
      <c r="L67" s="71"/>
      <c r="M67" s="52"/>
    </row>
    <row r="68" spans="1:13" s="102" customFormat="1" ht="32">
      <c r="A68" s="53" t="s">
        <v>2590</v>
      </c>
      <c r="B68" s="47"/>
      <c r="C68" s="55">
        <v>3</v>
      </c>
      <c r="D68" s="58" t="s">
        <v>213</v>
      </c>
      <c r="E68" s="52" t="s">
        <v>2581</v>
      </c>
      <c r="F68" s="38" t="s">
        <v>2591</v>
      </c>
      <c r="G68" s="119" t="s">
        <v>2592</v>
      </c>
      <c r="H68" s="42" t="s">
        <v>2593</v>
      </c>
      <c r="I68" s="51" t="s">
        <v>19</v>
      </c>
      <c r="J68" s="66"/>
      <c r="K68" s="51" t="s">
        <v>20</v>
      </c>
      <c r="L68" s="71"/>
      <c r="M68" s="52" t="s">
        <v>57</v>
      </c>
    </row>
    <row r="69" spans="1:13" s="101" customFormat="1">
      <c r="A69" s="53" t="s">
        <v>2594</v>
      </c>
      <c r="B69" s="47"/>
      <c r="C69" s="55">
        <v>3</v>
      </c>
      <c r="D69" s="58" t="s">
        <v>213</v>
      </c>
      <c r="E69" s="52" t="s">
        <v>2581</v>
      </c>
      <c r="F69" s="37" t="s">
        <v>2595</v>
      </c>
      <c r="G69" s="118" t="s">
        <v>2596</v>
      </c>
      <c r="H69" s="42" t="s">
        <v>2597</v>
      </c>
      <c r="I69" s="51" t="s">
        <v>19</v>
      </c>
      <c r="J69" s="66"/>
      <c r="K69" s="51" t="s">
        <v>20</v>
      </c>
      <c r="L69" s="71"/>
      <c r="M69" s="52"/>
    </row>
    <row r="70" spans="1:13" ht="32">
      <c r="A70" s="53" t="s">
        <v>2598</v>
      </c>
      <c r="B70" s="47"/>
      <c r="C70" s="55">
        <v>3</v>
      </c>
      <c r="D70" s="58" t="s">
        <v>213</v>
      </c>
      <c r="E70" s="52" t="s">
        <v>2581</v>
      </c>
      <c r="F70" s="103" t="s">
        <v>2599</v>
      </c>
      <c r="G70" s="126" t="s">
        <v>2600</v>
      </c>
      <c r="H70" s="42" t="s">
        <v>2601</v>
      </c>
      <c r="I70" s="51" t="s">
        <v>19</v>
      </c>
      <c r="J70" s="65"/>
      <c r="K70" s="51" t="s">
        <v>20</v>
      </c>
      <c r="L70" s="69"/>
      <c r="M70" s="52" t="s">
        <v>57</v>
      </c>
    </row>
    <row r="71" spans="1:13" ht="32">
      <c r="A71" s="53" t="s">
        <v>2602</v>
      </c>
      <c r="B71" s="47"/>
      <c r="C71" s="55">
        <v>3</v>
      </c>
      <c r="D71" s="57" t="s">
        <v>213</v>
      </c>
      <c r="E71" s="51" t="s">
        <v>2581</v>
      </c>
      <c r="F71" s="38" t="s">
        <v>2603</v>
      </c>
      <c r="G71" s="126" t="s">
        <v>2604</v>
      </c>
      <c r="H71" s="43" t="s">
        <v>2605</v>
      </c>
      <c r="I71" s="51" t="s">
        <v>19</v>
      </c>
      <c r="J71" s="65"/>
      <c r="K71" s="51" t="s">
        <v>20</v>
      </c>
      <c r="L71" s="69"/>
      <c r="M71" s="52" t="s">
        <v>57</v>
      </c>
    </row>
    <row r="72" spans="1:13" ht="32">
      <c r="A72" s="53" t="s">
        <v>2606</v>
      </c>
      <c r="B72" s="47">
        <v>3</v>
      </c>
      <c r="C72" s="55">
        <v>3</v>
      </c>
      <c r="D72" s="58" t="s">
        <v>213</v>
      </c>
      <c r="E72" s="53" t="s">
        <v>2607</v>
      </c>
      <c r="F72" s="37" t="s">
        <v>2608</v>
      </c>
      <c r="G72" s="125" t="s">
        <v>2609</v>
      </c>
      <c r="H72" s="42" t="s">
        <v>2610</v>
      </c>
      <c r="I72" s="51" t="s">
        <v>236</v>
      </c>
      <c r="J72" s="66"/>
      <c r="K72" s="51" t="s">
        <v>20</v>
      </c>
      <c r="L72" s="71"/>
      <c r="M72" s="52" t="s">
        <v>2551</v>
      </c>
    </row>
    <row r="73" spans="1:13">
      <c r="A73" s="53" t="s">
        <v>2611</v>
      </c>
      <c r="B73" s="47"/>
      <c r="C73" s="55">
        <v>3</v>
      </c>
      <c r="D73" s="57" t="s">
        <v>213</v>
      </c>
      <c r="E73" s="51" t="s">
        <v>2612</v>
      </c>
      <c r="F73" s="38" t="s">
        <v>2613</v>
      </c>
      <c r="G73" s="121" t="s">
        <v>2614</v>
      </c>
      <c r="H73" s="79" t="s">
        <v>2615</v>
      </c>
      <c r="I73" s="51" t="s">
        <v>19</v>
      </c>
      <c r="J73" s="65"/>
      <c r="K73" s="51" t="s">
        <v>20</v>
      </c>
      <c r="L73" s="69"/>
      <c r="M73" s="52" t="s">
        <v>57</v>
      </c>
    </row>
    <row r="74" spans="1:13">
      <c r="A74" s="53" t="s">
        <v>2616</v>
      </c>
      <c r="B74" s="47">
        <v>3</v>
      </c>
      <c r="C74" s="55">
        <v>3</v>
      </c>
      <c r="D74" s="57" t="s">
        <v>213</v>
      </c>
      <c r="E74" s="51" t="s">
        <v>2612</v>
      </c>
      <c r="F74" s="36" t="s">
        <v>2617</v>
      </c>
      <c r="G74" s="120" t="s">
        <v>2618</v>
      </c>
      <c r="H74" s="43" t="s">
        <v>2619</v>
      </c>
      <c r="I74" s="51" t="s">
        <v>33</v>
      </c>
      <c r="J74" s="65"/>
      <c r="K74" s="51" t="s">
        <v>20</v>
      </c>
      <c r="L74" s="69"/>
      <c r="M74" s="51"/>
    </row>
    <row r="75" spans="1:13">
      <c r="A75" s="53" t="s">
        <v>2620</v>
      </c>
      <c r="B75" s="47"/>
      <c r="C75" s="55">
        <v>3</v>
      </c>
      <c r="D75" s="57" t="s">
        <v>213</v>
      </c>
      <c r="E75" s="51" t="s">
        <v>2612</v>
      </c>
      <c r="F75" s="36" t="s">
        <v>2621</v>
      </c>
      <c r="G75" s="118" t="s">
        <v>2622</v>
      </c>
      <c r="H75" s="42" t="s">
        <v>2623</v>
      </c>
      <c r="I75" s="51" t="s">
        <v>33</v>
      </c>
      <c r="J75" s="65"/>
      <c r="K75" s="51" t="s">
        <v>20</v>
      </c>
      <c r="L75" s="69"/>
      <c r="M75" s="51"/>
    </row>
    <row r="76" spans="1:13" ht="32">
      <c r="A76" s="53" t="s">
        <v>2624</v>
      </c>
      <c r="B76" s="47"/>
      <c r="C76" s="55">
        <v>3</v>
      </c>
      <c r="D76" s="57" t="s">
        <v>213</v>
      </c>
      <c r="E76" s="51" t="s">
        <v>2612</v>
      </c>
      <c r="F76" s="33" t="s">
        <v>2625</v>
      </c>
      <c r="G76" s="120" t="s">
        <v>2626</v>
      </c>
      <c r="H76" s="42" t="s">
        <v>2627</v>
      </c>
      <c r="I76" s="51" t="s">
        <v>33</v>
      </c>
      <c r="J76" s="65"/>
      <c r="K76" s="51" t="s">
        <v>20</v>
      </c>
      <c r="L76" s="69"/>
      <c r="M76" s="51"/>
    </row>
    <row r="77" spans="1:13" ht="32">
      <c r="A77" s="53" t="s">
        <v>2628</v>
      </c>
      <c r="B77" s="47"/>
      <c r="C77" s="55">
        <v>3</v>
      </c>
      <c r="D77" s="57" t="s">
        <v>213</v>
      </c>
      <c r="E77" s="51" t="s">
        <v>2612</v>
      </c>
      <c r="F77" s="33" t="s">
        <v>2629</v>
      </c>
      <c r="G77" s="118" t="s">
        <v>2630</v>
      </c>
      <c r="H77" s="42" t="s">
        <v>2631</v>
      </c>
      <c r="I77" s="51" t="s">
        <v>33</v>
      </c>
      <c r="J77" s="65"/>
      <c r="K77" s="51" t="s">
        <v>20</v>
      </c>
      <c r="L77" s="69"/>
      <c r="M77" s="51"/>
    </row>
    <row r="78" spans="1:13" ht="32">
      <c r="A78" s="53" t="s">
        <v>2632</v>
      </c>
      <c r="B78" s="47"/>
      <c r="C78" s="55">
        <v>3</v>
      </c>
      <c r="D78" s="57" t="s">
        <v>213</v>
      </c>
      <c r="E78" s="51" t="s">
        <v>2633</v>
      </c>
      <c r="F78" s="38" t="s">
        <v>2634</v>
      </c>
      <c r="G78" s="237" t="s">
        <v>2635</v>
      </c>
      <c r="H78" s="43" t="s">
        <v>94</v>
      </c>
      <c r="I78" s="51" t="s">
        <v>19</v>
      </c>
      <c r="J78" s="65"/>
      <c r="K78" s="51" t="s">
        <v>20</v>
      </c>
      <c r="L78" s="69"/>
      <c r="M78" s="52" t="s">
        <v>2636</v>
      </c>
    </row>
    <row r="79" spans="1:13">
      <c r="A79" s="53" t="s">
        <v>2637</v>
      </c>
      <c r="B79" s="47">
        <v>3</v>
      </c>
      <c r="C79" s="55">
        <v>3</v>
      </c>
      <c r="D79" s="57" t="s">
        <v>213</v>
      </c>
      <c r="E79" s="51" t="s">
        <v>2633</v>
      </c>
      <c r="F79" s="37" t="s">
        <v>2638</v>
      </c>
      <c r="G79" s="238" t="s">
        <v>2639</v>
      </c>
      <c r="H79" s="43" t="s">
        <v>2640</v>
      </c>
      <c r="I79" s="51" t="s">
        <v>33</v>
      </c>
      <c r="J79" s="65"/>
      <c r="K79" s="51"/>
      <c r="L79" s="69"/>
      <c r="M79" s="43" t="s">
        <v>2641</v>
      </c>
    </row>
    <row r="80" spans="1:13" ht="32">
      <c r="A80" s="53" t="s">
        <v>2642</v>
      </c>
      <c r="B80" s="47">
        <v>3</v>
      </c>
      <c r="C80" s="55">
        <v>3</v>
      </c>
      <c r="D80" s="57" t="s">
        <v>213</v>
      </c>
      <c r="E80" s="51" t="s">
        <v>2633</v>
      </c>
      <c r="F80" s="38" t="s">
        <v>2643</v>
      </c>
      <c r="G80" s="239" t="s">
        <v>2644</v>
      </c>
      <c r="H80" s="43" t="s">
        <v>2645</v>
      </c>
      <c r="I80" s="51" t="s">
        <v>19</v>
      </c>
      <c r="J80" s="65"/>
      <c r="K80" s="51" t="s">
        <v>20</v>
      </c>
      <c r="L80" s="69"/>
      <c r="M80" s="52" t="s">
        <v>2636</v>
      </c>
    </row>
    <row r="81" spans="1:13" ht="32">
      <c r="A81" s="53" t="s">
        <v>2646</v>
      </c>
      <c r="B81" s="47"/>
      <c r="C81" s="55">
        <v>3</v>
      </c>
      <c r="D81" s="57" t="s">
        <v>213</v>
      </c>
      <c r="E81" s="51" t="s">
        <v>2647</v>
      </c>
      <c r="F81" s="38" t="s">
        <v>2648</v>
      </c>
      <c r="G81" s="127" t="s">
        <v>2649</v>
      </c>
      <c r="H81" s="43"/>
      <c r="I81" s="51" t="s">
        <v>19</v>
      </c>
      <c r="J81" s="65"/>
      <c r="K81" s="51" t="s">
        <v>20</v>
      </c>
      <c r="L81" s="69"/>
      <c r="M81" s="51" t="s">
        <v>2650</v>
      </c>
    </row>
    <row r="82" spans="1:13">
      <c r="A82" s="53" t="s">
        <v>2651</v>
      </c>
      <c r="B82" s="47">
        <v>3</v>
      </c>
      <c r="C82" s="55">
        <v>3</v>
      </c>
      <c r="D82" s="58" t="s">
        <v>213</v>
      </c>
      <c r="E82" s="52" t="s">
        <v>2652</v>
      </c>
      <c r="F82" s="37" t="s">
        <v>2653</v>
      </c>
      <c r="G82" s="117" t="s">
        <v>2654</v>
      </c>
      <c r="H82" s="43" t="s">
        <v>2640</v>
      </c>
      <c r="I82" s="51" t="s">
        <v>236</v>
      </c>
      <c r="J82" s="66"/>
      <c r="K82" s="51" t="s">
        <v>20</v>
      </c>
      <c r="L82" s="71"/>
      <c r="M82" s="52" t="s">
        <v>2655</v>
      </c>
    </row>
    <row r="83" spans="1:13" s="31" customFormat="1">
      <c r="A83" s="53" t="s">
        <v>2656</v>
      </c>
      <c r="B83" s="47"/>
      <c r="C83" s="55">
        <v>3</v>
      </c>
      <c r="D83" s="57" t="s">
        <v>213</v>
      </c>
      <c r="E83" s="51" t="s">
        <v>2657</v>
      </c>
      <c r="F83" s="36" t="s">
        <v>2658</v>
      </c>
      <c r="G83" s="117" t="s">
        <v>2659</v>
      </c>
      <c r="H83" s="43" t="s">
        <v>2660</v>
      </c>
      <c r="I83" s="51" t="s">
        <v>236</v>
      </c>
      <c r="J83" s="65" t="s">
        <v>764</v>
      </c>
      <c r="K83" s="51" t="s">
        <v>20</v>
      </c>
      <c r="L83" s="69"/>
      <c r="M83" s="51" t="s">
        <v>2661</v>
      </c>
    </row>
    <row r="84" spans="1:13" s="31" customFormat="1">
      <c r="A84" s="53" t="s">
        <v>2662</v>
      </c>
      <c r="B84" s="47"/>
      <c r="C84" s="55">
        <v>3</v>
      </c>
      <c r="D84" s="57" t="s">
        <v>213</v>
      </c>
      <c r="E84" s="51" t="s">
        <v>2657</v>
      </c>
      <c r="F84" s="36" t="s">
        <v>2663</v>
      </c>
      <c r="G84" s="117" t="s">
        <v>2664</v>
      </c>
      <c r="H84" s="43" t="s">
        <v>2665</v>
      </c>
      <c r="I84" s="51" t="s">
        <v>236</v>
      </c>
      <c r="J84" s="65" t="s">
        <v>764</v>
      </c>
      <c r="K84" s="51" t="s">
        <v>20</v>
      </c>
      <c r="L84" s="69"/>
      <c r="M84" s="51" t="s">
        <v>2661</v>
      </c>
    </row>
    <row r="85" spans="1:13" ht="32">
      <c r="A85" s="53" t="s">
        <v>2666</v>
      </c>
      <c r="B85" s="47"/>
      <c r="C85" s="55">
        <v>3</v>
      </c>
      <c r="D85" s="57" t="s">
        <v>213</v>
      </c>
      <c r="E85" s="51" t="s">
        <v>2667</v>
      </c>
      <c r="F85" s="103" t="s">
        <v>2668</v>
      </c>
      <c r="G85" s="121" t="s">
        <v>2669</v>
      </c>
      <c r="H85" s="43" t="s">
        <v>2670</v>
      </c>
      <c r="I85" s="51" t="s">
        <v>19</v>
      </c>
      <c r="J85" s="65"/>
      <c r="K85" s="51" t="s">
        <v>20</v>
      </c>
      <c r="L85" s="106" t="s">
        <v>2671</v>
      </c>
      <c r="M85" s="107" t="s">
        <v>2671</v>
      </c>
    </row>
    <row r="86" spans="1:13" ht="32">
      <c r="A86" s="53" t="s">
        <v>2672</v>
      </c>
      <c r="B86" s="47">
        <v>3</v>
      </c>
      <c r="C86" s="55">
        <v>3</v>
      </c>
      <c r="D86" s="57" t="s">
        <v>213</v>
      </c>
      <c r="E86" s="51" t="s">
        <v>2673</v>
      </c>
      <c r="F86" s="37" t="s">
        <v>2674</v>
      </c>
      <c r="G86" s="240" t="s">
        <v>2675</v>
      </c>
      <c r="H86" s="43" t="s">
        <v>2555</v>
      </c>
      <c r="I86" s="51" t="s">
        <v>33</v>
      </c>
      <c r="J86" s="65"/>
      <c r="K86" s="51" t="s">
        <v>20</v>
      </c>
      <c r="L86" s="69"/>
      <c r="M86" s="51"/>
    </row>
    <row r="87" spans="1:13" ht="32">
      <c r="A87" s="53" t="s">
        <v>2676</v>
      </c>
      <c r="B87" s="47">
        <v>3</v>
      </c>
      <c r="C87" s="55">
        <v>3</v>
      </c>
      <c r="D87" s="58" t="s">
        <v>213</v>
      </c>
      <c r="E87" s="52" t="s">
        <v>2677</v>
      </c>
      <c r="F87" s="37" t="s">
        <v>2678</v>
      </c>
      <c r="G87" s="118" t="s">
        <v>2679</v>
      </c>
      <c r="H87" s="42" t="s">
        <v>2680</v>
      </c>
      <c r="I87" s="51" t="s">
        <v>236</v>
      </c>
      <c r="J87" s="66"/>
      <c r="K87" s="51" t="s">
        <v>20</v>
      </c>
      <c r="L87" s="71"/>
      <c r="M87" s="52"/>
    </row>
    <row r="88" spans="1:13" ht="32">
      <c r="A88" s="53" t="s">
        <v>2681</v>
      </c>
      <c r="B88" s="47"/>
      <c r="C88" s="55">
        <v>3</v>
      </c>
      <c r="D88" s="58" t="s">
        <v>213</v>
      </c>
      <c r="E88" s="52" t="s">
        <v>2682</v>
      </c>
      <c r="F88" s="108" t="s">
        <v>2683</v>
      </c>
      <c r="G88" s="117" t="s">
        <v>2684</v>
      </c>
      <c r="H88" s="43" t="s">
        <v>2685</v>
      </c>
      <c r="I88" s="51" t="s">
        <v>33</v>
      </c>
      <c r="J88" s="66"/>
      <c r="K88" s="51" t="s">
        <v>20</v>
      </c>
      <c r="L88" s="71"/>
      <c r="M88" s="52"/>
    </row>
    <row r="89" spans="1:13">
      <c r="A89" s="53" t="s">
        <v>2686</v>
      </c>
      <c r="B89" s="47"/>
      <c r="C89" s="55">
        <v>3</v>
      </c>
      <c r="D89" s="58" t="s">
        <v>213</v>
      </c>
      <c r="E89" s="52" t="s">
        <v>2687</v>
      </c>
      <c r="F89" s="33" t="s">
        <v>2688</v>
      </c>
      <c r="G89" s="118" t="s">
        <v>2689</v>
      </c>
      <c r="H89" s="42" t="s">
        <v>2690</v>
      </c>
      <c r="I89" s="51" t="s">
        <v>236</v>
      </c>
      <c r="J89" s="66"/>
      <c r="K89" s="51" t="s">
        <v>20</v>
      </c>
      <c r="L89" s="71"/>
      <c r="M89" s="52"/>
    </row>
    <row r="90" spans="1:13" ht="32">
      <c r="A90" s="53" t="s">
        <v>2691</v>
      </c>
      <c r="B90" s="47"/>
      <c r="C90" s="55">
        <v>2</v>
      </c>
      <c r="D90" s="51" t="s">
        <v>2692</v>
      </c>
      <c r="E90" s="51" t="s">
        <v>2692</v>
      </c>
      <c r="F90" s="33" t="s">
        <v>2693</v>
      </c>
      <c r="G90" s="120" t="s">
        <v>2694</v>
      </c>
      <c r="H90" s="43" t="s">
        <v>421</v>
      </c>
      <c r="I90" s="51" t="s">
        <v>33</v>
      </c>
      <c r="J90" s="65" t="s">
        <v>2695</v>
      </c>
      <c r="K90" s="51" t="s">
        <v>20</v>
      </c>
      <c r="L90" s="69"/>
      <c r="M90" s="57" t="s">
        <v>2696</v>
      </c>
    </row>
    <row r="91" spans="1:13">
      <c r="A91" s="53" t="s">
        <v>2697</v>
      </c>
      <c r="B91" s="47"/>
      <c r="C91" s="55">
        <v>2</v>
      </c>
      <c r="D91" s="51" t="s">
        <v>2692</v>
      </c>
      <c r="E91" s="51" t="s">
        <v>2692</v>
      </c>
      <c r="F91" s="33" t="s">
        <v>2698</v>
      </c>
      <c r="G91" s="120" t="s">
        <v>2699</v>
      </c>
      <c r="H91" s="43" t="s">
        <v>421</v>
      </c>
      <c r="I91" s="51" t="s">
        <v>33</v>
      </c>
      <c r="J91" s="65" t="s">
        <v>2700</v>
      </c>
      <c r="K91" s="51" t="s">
        <v>20</v>
      </c>
      <c r="L91" s="69"/>
      <c r="M91" s="57" t="s">
        <v>2696</v>
      </c>
    </row>
    <row r="92" spans="1:13">
      <c r="A92" s="53" t="s">
        <v>2701</v>
      </c>
      <c r="B92" s="47"/>
      <c r="C92" s="55">
        <v>2</v>
      </c>
      <c r="D92" s="51" t="s">
        <v>2692</v>
      </c>
      <c r="E92" s="51" t="s">
        <v>2692</v>
      </c>
      <c r="F92" s="33" t="s">
        <v>2702</v>
      </c>
      <c r="G92" s="120" t="s">
        <v>2703</v>
      </c>
      <c r="H92" s="43" t="s">
        <v>2704</v>
      </c>
      <c r="I92" s="51" t="s">
        <v>33</v>
      </c>
      <c r="J92" s="65" t="s">
        <v>2705</v>
      </c>
      <c r="K92" s="51" t="s">
        <v>20</v>
      </c>
      <c r="L92" s="69"/>
      <c r="M92" s="57" t="s">
        <v>2696</v>
      </c>
    </row>
    <row r="93" spans="1:13">
      <c r="A93" s="53" t="s">
        <v>2706</v>
      </c>
      <c r="B93" s="47"/>
      <c r="C93" s="55">
        <v>2</v>
      </c>
      <c r="D93" s="57" t="s">
        <v>2707</v>
      </c>
      <c r="E93" s="53" t="s">
        <v>2708</v>
      </c>
      <c r="F93" s="33" t="s">
        <v>2709</v>
      </c>
      <c r="G93" s="118" t="s">
        <v>2710</v>
      </c>
      <c r="H93" s="42" t="s">
        <v>405</v>
      </c>
      <c r="I93" s="51" t="s">
        <v>33</v>
      </c>
      <c r="J93" s="65"/>
      <c r="K93" s="51" t="s">
        <v>20</v>
      </c>
      <c r="L93" s="69"/>
      <c r="M93" s="51"/>
    </row>
    <row r="94" spans="1:13" ht="32">
      <c r="A94" s="53" t="s">
        <v>2711</v>
      </c>
      <c r="B94" s="47"/>
      <c r="C94" s="55">
        <v>3</v>
      </c>
      <c r="D94" s="57" t="s">
        <v>2707</v>
      </c>
      <c r="E94" s="53" t="s">
        <v>2708</v>
      </c>
      <c r="F94" s="33" t="s">
        <v>2712</v>
      </c>
      <c r="G94" s="118" t="s">
        <v>2713</v>
      </c>
      <c r="H94" s="42" t="s">
        <v>405</v>
      </c>
      <c r="I94" s="51" t="s">
        <v>33</v>
      </c>
      <c r="J94" s="65" t="s">
        <v>2714</v>
      </c>
      <c r="K94" s="51" t="s">
        <v>20</v>
      </c>
      <c r="L94" s="69"/>
      <c r="M94" s="51"/>
    </row>
    <row r="95" spans="1:13">
      <c r="A95" s="53" t="s">
        <v>2715</v>
      </c>
      <c r="B95" s="47"/>
      <c r="C95" s="55">
        <v>3</v>
      </c>
      <c r="D95" s="57" t="s">
        <v>2707</v>
      </c>
      <c r="E95" s="53" t="s">
        <v>2708</v>
      </c>
      <c r="F95" s="33" t="s">
        <v>2716</v>
      </c>
      <c r="G95" s="118" t="s">
        <v>2717</v>
      </c>
      <c r="H95" s="42" t="s">
        <v>405</v>
      </c>
      <c r="I95" s="51" t="s">
        <v>33</v>
      </c>
      <c r="J95" s="65"/>
      <c r="K95" s="51" t="s">
        <v>20</v>
      </c>
      <c r="L95" s="69"/>
      <c r="M95" s="51"/>
    </row>
    <row r="96" spans="1:13">
      <c r="A96" s="53" t="s">
        <v>2718</v>
      </c>
      <c r="B96" s="47"/>
      <c r="C96" s="55">
        <v>1</v>
      </c>
      <c r="D96" s="57" t="s">
        <v>2707</v>
      </c>
      <c r="E96" s="53" t="s">
        <v>2708</v>
      </c>
      <c r="F96" s="35" t="s">
        <v>2719</v>
      </c>
      <c r="G96" s="119" t="s">
        <v>2720</v>
      </c>
      <c r="H96" s="42" t="s">
        <v>405</v>
      </c>
      <c r="I96" s="51" t="s">
        <v>33</v>
      </c>
      <c r="J96" s="65" t="s">
        <v>2721</v>
      </c>
      <c r="K96" s="51" t="s">
        <v>20</v>
      </c>
      <c r="L96" s="69"/>
      <c r="M96" s="52" t="s">
        <v>57</v>
      </c>
    </row>
    <row r="97" spans="1:13">
      <c r="A97" s="53" t="s">
        <v>2722</v>
      </c>
      <c r="B97" s="47">
        <v>3</v>
      </c>
      <c r="C97" s="55">
        <v>3</v>
      </c>
      <c r="D97" s="57" t="s">
        <v>2707</v>
      </c>
      <c r="E97" s="53" t="s">
        <v>2708</v>
      </c>
      <c r="F97" s="33" t="s">
        <v>2723</v>
      </c>
      <c r="G97" s="118" t="s">
        <v>2724</v>
      </c>
      <c r="H97" s="42" t="s">
        <v>405</v>
      </c>
      <c r="I97" s="51" t="s">
        <v>33</v>
      </c>
      <c r="J97" s="65"/>
      <c r="K97" s="51" t="s">
        <v>20</v>
      </c>
      <c r="L97" s="69"/>
      <c r="M97" s="51"/>
    </row>
    <row r="98" spans="1:13">
      <c r="A98" s="53" t="s">
        <v>2725</v>
      </c>
      <c r="B98" s="47">
        <v>2</v>
      </c>
      <c r="C98" s="55">
        <v>1</v>
      </c>
      <c r="D98" s="57" t="s">
        <v>2707</v>
      </c>
      <c r="E98" s="53" t="s">
        <v>2708</v>
      </c>
      <c r="F98" s="33" t="s">
        <v>2726</v>
      </c>
      <c r="G98" s="118" t="s">
        <v>2727</v>
      </c>
      <c r="H98" s="42" t="s">
        <v>405</v>
      </c>
      <c r="I98" s="51" t="s">
        <v>33</v>
      </c>
      <c r="J98" s="65"/>
      <c r="K98" s="51" t="s">
        <v>20</v>
      </c>
      <c r="L98" s="69"/>
      <c r="M98" s="51"/>
    </row>
    <row r="99" spans="1:13" ht="32">
      <c r="A99" s="53" t="s">
        <v>2728</v>
      </c>
      <c r="B99" s="47">
        <v>2</v>
      </c>
      <c r="C99" s="55">
        <v>2</v>
      </c>
      <c r="D99" s="57" t="s">
        <v>2707</v>
      </c>
      <c r="E99" s="53" t="s">
        <v>2708</v>
      </c>
      <c r="F99" s="33" t="s">
        <v>2729</v>
      </c>
      <c r="G99" s="118" t="s">
        <v>2730</v>
      </c>
      <c r="H99" s="42" t="s">
        <v>405</v>
      </c>
      <c r="I99" s="51" t="s">
        <v>33</v>
      </c>
      <c r="J99" s="65" t="s">
        <v>2731</v>
      </c>
      <c r="K99" s="51" t="s">
        <v>20</v>
      </c>
      <c r="L99" s="69"/>
      <c r="M99" s="51"/>
    </row>
    <row r="100" spans="1:13" ht="32.25" customHeight="1">
      <c r="A100" s="53" t="s">
        <v>2732</v>
      </c>
      <c r="B100" s="47"/>
      <c r="C100" s="55">
        <v>3</v>
      </c>
      <c r="D100" s="57" t="s">
        <v>2707</v>
      </c>
      <c r="E100" s="53" t="s">
        <v>2708</v>
      </c>
      <c r="F100" s="33" t="s">
        <v>2733</v>
      </c>
      <c r="G100" s="118" t="s">
        <v>2734</v>
      </c>
      <c r="H100" s="42" t="s">
        <v>405</v>
      </c>
      <c r="I100" s="51" t="s">
        <v>33</v>
      </c>
      <c r="J100" s="65"/>
      <c r="K100" s="51" t="s">
        <v>20</v>
      </c>
      <c r="L100" s="69"/>
      <c r="M100" s="51"/>
    </row>
    <row r="101" spans="1:13">
      <c r="A101" s="53" t="s">
        <v>2735</v>
      </c>
      <c r="B101" s="47"/>
      <c r="C101" s="55">
        <v>3</v>
      </c>
      <c r="D101" s="57" t="s">
        <v>2707</v>
      </c>
      <c r="E101" s="53" t="s">
        <v>2708</v>
      </c>
      <c r="F101" s="33" t="s">
        <v>2736</v>
      </c>
      <c r="G101" s="118" t="s">
        <v>2737</v>
      </c>
      <c r="H101" s="42" t="s">
        <v>405</v>
      </c>
      <c r="I101" s="51" t="s">
        <v>33</v>
      </c>
      <c r="J101" s="65"/>
      <c r="K101" s="51" t="s">
        <v>20</v>
      </c>
      <c r="L101" s="69"/>
      <c r="M101" s="51"/>
    </row>
    <row r="102" spans="1:13">
      <c r="A102" s="53" t="s">
        <v>2738</v>
      </c>
      <c r="B102" s="47"/>
      <c r="C102" s="55">
        <v>3</v>
      </c>
      <c r="D102" s="57" t="s">
        <v>2707</v>
      </c>
      <c r="E102" s="53" t="s">
        <v>2708</v>
      </c>
      <c r="F102" s="35" t="s">
        <v>2739</v>
      </c>
      <c r="G102" s="119" t="s">
        <v>2740</v>
      </c>
      <c r="H102" s="42" t="s">
        <v>405</v>
      </c>
      <c r="I102" s="51" t="s">
        <v>33</v>
      </c>
      <c r="J102" s="65"/>
      <c r="K102" s="51" t="s">
        <v>20</v>
      </c>
      <c r="L102" s="69"/>
      <c r="M102" s="52" t="s">
        <v>57</v>
      </c>
    </row>
    <row r="103" spans="1:13" ht="32">
      <c r="A103" s="53" t="s">
        <v>2741</v>
      </c>
      <c r="B103" s="47">
        <v>2</v>
      </c>
      <c r="C103" s="55">
        <v>2</v>
      </c>
      <c r="D103" s="57" t="s">
        <v>2707</v>
      </c>
      <c r="E103" s="53" t="s">
        <v>2708</v>
      </c>
      <c r="F103" s="35" t="s">
        <v>2742</v>
      </c>
      <c r="G103" s="119" t="s">
        <v>2743</v>
      </c>
      <c r="H103" s="42" t="s">
        <v>405</v>
      </c>
      <c r="I103" s="51" t="s">
        <v>33</v>
      </c>
      <c r="J103" s="65" t="s">
        <v>2721</v>
      </c>
      <c r="K103" s="51" t="s">
        <v>88</v>
      </c>
      <c r="L103" s="69"/>
      <c r="M103" s="51" t="s">
        <v>2744</v>
      </c>
    </row>
    <row r="104" spans="1:13">
      <c r="A104" s="53" t="s">
        <v>2745</v>
      </c>
      <c r="B104" s="47"/>
      <c r="C104" s="55">
        <v>3</v>
      </c>
      <c r="D104" s="57" t="s">
        <v>2707</v>
      </c>
      <c r="E104" s="53" t="s">
        <v>2708</v>
      </c>
      <c r="F104" s="33" t="s">
        <v>2746</v>
      </c>
      <c r="G104" s="118" t="s">
        <v>2747</v>
      </c>
      <c r="H104" s="42" t="s">
        <v>405</v>
      </c>
      <c r="I104" s="51" t="s">
        <v>33</v>
      </c>
      <c r="J104" s="65" t="s">
        <v>2714</v>
      </c>
      <c r="K104" s="51" t="s">
        <v>20</v>
      </c>
      <c r="L104" s="69"/>
      <c r="M104" s="51"/>
    </row>
    <row r="105" spans="1:13">
      <c r="A105" s="53" t="s">
        <v>2748</v>
      </c>
      <c r="B105" s="47"/>
      <c r="C105" s="55">
        <v>3</v>
      </c>
      <c r="D105" s="57" t="s">
        <v>2707</v>
      </c>
      <c r="E105" s="53" t="s">
        <v>2708</v>
      </c>
      <c r="F105" s="33" t="s">
        <v>2749</v>
      </c>
      <c r="G105" s="118" t="s">
        <v>2750</v>
      </c>
      <c r="H105" s="42" t="s">
        <v>405</v>
      </c>
      <c r="I105" s="51" t="s">
        <v>33</v>
      </c>
      <c r="J105" s="65"/>
      <c r="K105" s="51" t="s">
        <v>20</v>
      </c>
      <c r="L105" s="69"/>
      <c r="M105" s="51"/>
    </row>
    <row r="106" spans="1:13">
      <c r="A106" s="53" t="s">
        <v>2751</v>
      </c>
      <c r="B106" s="47"/>
      <c r="C106" s="55">
        <v>2</v>
      </c>
      <c r="D106" s="57" t="s">
        <v>2707</v>
      </c>
      <c r="E106" s="53" t="s">
        <v>2708</v>
      </c>
      <c r="F106" s="35" t="s">
        <v>2752</v>
      </c>
      <c r="G106" s="119" t="s">
        <v>2753</v>
      </c>
      <c r="H106" s="42" t="s">
        <v>2754</v>
      </c>
      <c r="I106" s="51" t="s">
        <v>33</v>
      </c>
      <c r="J106" s="65"/>
      <c r="K106" s="51" t="s">
        <v>20</v>
      </c>
      <c r="L106" s="69"/>
      <c r="M106" s="52" t="s">
        <v>57</v>
      </c>
    </row>
    <row r="107" spans="1:13">
      <c r="A107" s="53" t="s">
        <v>2755</v>
      </c>
      <c r="B107" s="47"/>
      <c r="C107" s="55">
        <v>3</v>
      </c>
      <c r="D107" s="57" t="s">
        <v>2707</v>
      </c>
      <c r="E107" s="53" t="s">
        <v>2708</v>
      </c>
      <c r="F107" s="33" t="s">
        <v>2756</v>
      </c>
      <c r="G107" s="118" t="s">
        <v>2757</v>
      </c>
      <c r="H107" s="42" t="s">
        <v>405</v>
      </c>
      <c r="I107" s="51" t="s">
        <v>33</v>
      </c>
      <c r="J107" s="65"/>
      <c r="K107" s="51" t="s">
        <v>20</v>
      </c>
      <c r="L107" s="69"/>
      <c r="M107" s="51"/>
    </row>
    <row r="108" spans="1:13">
      <c r="A108" s="53" t="s">
        <v>2758</v>
      </c>
      <c r="B108" s="47"/>
      <c r="C108" s="55">
        <v>3</v>
      </c>
      <c r="D108" s="57" t="s">
        <v>2707</v>
      </c>
      <c r="E108" s="53" t="s">
        <v>2708</v>
      </c>
      <c r="F108" s="33" t="s">
        <v>2759</v>
      </c>
      <c r="G108" s="118" t="s">
        <v>2760</v>
      </c>
      <c r="H108" s="42" t="s">
        <v>405</v>
      </c>
      <c r="I108" s="51" t="s">
        <v>33</v>
      </c>
      <c r="J108" s="63"/>
      <c r="K108" s="51" t="s">
        <v>20</v>
      </c>
      <c r="L108" s="69"/>
      <c r="M108" s="51"/>
    </row>
    <row r="109" spans="1:13">
      <c r="A109" s="53" t="s">
        <v>2761</v>
      </c>
      <c r="B109" s="47"/>
      <c r="C109" s="55">
        <v>3</v>
      </c>
      <c r="D109" s="57" t="s">
        <v>2707</v>
      </c>
      <c r="E109" s="53" t="s">
        <v>2708</v>
      </c>
      <c r="F109" s="33" t="s">
        <v>2762</v>
      </c>
      <c r="G109" s="118" t="s">
        <v>2763</v>
      </c>
      <c r="H109" s="42" t="s">
        <v>2764</v>
      </c>
      <c r="I109" s="51" t="s">
        <v>33</v>
      </c>
      <c r="J109" s="65"/>
      <c r="K109" s="51" t="s">
        <v>20</v>
      </c>
      <c r="L109" s="69"/>
      <c r="M109" s="51"/>
    </row>
    <row r="110" spans="1:13">
      <c r="A110" s="53" t="s">
        <v>2765</v>
      </c>
      <c r="B110" s="47"/>
      <c r="C110" s="55">
        <v>3</v>
      </c>
      <c r="D110" s="57" t="s">
        <v>2707</v>
      </c>
      <c r="E110" s="53" t="s">
        <v>2766</v>
      </c>
      <c r="F110" s="35" t="s">
        <v>2767</v>
      </c>
      <c r="G110" s="119" t="s">
        <v>2768</v>
      </c>
      <c r="H110" s="42" t="s">
        <v>405</v>
      </c>
      <c r="I110" s="51" t="s">
        <v>19</v>
      </c>
      <c r="J110" s="65"/>
      <c r="K110" s="51" t="s">
        <v>20</v>
      </c>
      <c r="L110" s="69"/>
      <c r="M110" s="52" t="s">
        <v>57</v>
      </c>
    </row>
    <row r="111" spans="1:13">
      <c r="A111" s="53" t="s">
        <v>2769</v>
      </c>
      <c r="B111" s="47"/>
      <c r="C111" s="55">
        <v>3</v>
      </c>
      <c r="D111" s="57" t="s">
        <v>2707</v>
      </c>
      <c r="E111" s="53" t="s">
        <v>2766</v>
      </c>
      <c r="F111" s="35" t="s">
        <v>2770</v>
      </c>
      <c r="G111" s="119" t="s">
        <v>2771</v>
      </c>
      <c r="H111" s="42" t="s">
        <v>2772</v>
      </c>
      <c r="I111" s="51" t="s">
        <v>33</v>
      </c>
      <c r="J111" s="65"/>
      <c r="K111" s="51" t="s">
        <v>88</v>
      </c>
      <c r="L111" s="69"/>
      <c r="M111" s="52" t="s">
        <v>57</v>
      </c>
    </row>
    <row r="112" spans="1:13">
      <c r="A112" s="53" t="s">
        <v>2773</v>
      </c>
      <c r="B112" s="47"/>
      <c r="C112" s="55">
        <v>2</v>
      </c>
      <c r="D112" s="57" t="s">
        <v>2707</v>
      </c>
      <c r="E112" s="53" t="s">
        <v>2766</v>
      </c>
      <c r="F112" s="35" t="s">
        <v>2774</v>
      </c>
      <c r="G112" s="119" t="s">
        <v>2775</v>
      </c>
      <c r="H112" s="42" t="s">
        <v>2776</v>
      </c>
      <c r="I112" s="51" t="s">
        <v>19</v>
      </c>
      <c r="J112" s="65"/>
      <c r="K112" s="51" t="s">
        <v>20</v>
      </c>
      <c r="L112" s="69"/>
      <c r="M112" s="52" t="s">
        <v>57</v>
      </c>
    </row>
    <row r="113" spans="1:13">
      <c r="A113" s="53" t="s">
        <v>2777</v>
      </c>
      <c r="B113" s="47"/>
      <c r="C113" s="55">
        <v>3</v>
      </c>
      <c r="D113" s="57" t="s">
        <v>2707</v>
      </c>
      <c r="E113" s="53" t="s">
        <v>2766</v>
      </c>
      <c r="F113" s="35" t="s">
        <v>2778</v>
      </c>
      <c r="G113" s="119" t="s">
        <v>2779</v>
      </c>
      <c r="H113" s="42" t="s">
        <v>405</v>
      </c>
      <c r="I113" s="51" t="s">
        <v>19</v>
      </c>
      <c r="J113" s="65"/>
      <c r="K113" s="51" t="s">
        <v>20</v>
      </c>
      <c r="L113" s="69"/>
      <c r="M113" s="52" t="s">
        <v>57</v>
      </c>
    </row>
    <row r="114" spans="1:13" ht="32">
      <c r="A114" s="53" t="s">
        <v>2780</v>
      </c>
      <c r="B114" s="47">
        <v>2</v>
      </c>
      <c r="C114" s="55">
        <v>2</v>
      </c>
      <c r="D114" s="57" t="s">
        <v>2707</v>
      </c>
      <c r="E114" s="53" t="s">
        <v>1227</v>
      </c>
      <c r="F114" s="35" t="s">
        <v>2781</v>
      </c>
      <c r="G114" s="119" t="s">
        <v>2782</v>
      </c>
      <c r="H114" s="42" t="s">
        <v>2783</v>
      </c>
      <c r="I114" s="51" t="s">
        <v>19</v>
      </c>
      <c r="J114" s="65"/>
      <c r="K114" s="51" t="s">
        <v>20</v>
      </c>
      <c r="L114" s="69"/>
      <c r="M114" s="57" t="s">
        <v>1241</v>
      </c>
    </row>
    <row r="115" spans="1:13" ht="32">
      <c r="A115" s="53" t="s">
        <v>2784</v>
      </c>
      <c r="B115" s="47">
        <v>2</v>
      </c>
      <c r="C115" s="55">
        <v>2</v>
      </c>
      <c r="D115" s="57" t="s">
        <v>2707</v>
      </c>
      <c r="E115" s="53" t="s">
        <v>1227</v>
      </c>
      <c r="F115" s="35" t="s">
        <v>2785</v>
      </c>
      <c r="G115" s="119" t="s">
        <v>2786</v>
      </c>
      <c r="H115" s="42" t="s">
        <v>2787</v>
      </c>
      <c r="I115" s="51" t="s">
        <v>19</v>
      </c>
      <c r="J115" s="65"/>
      <c r="K115" s="51" t="s">
        <v>20</v>
      </c>
      <c r="L115" s="69"/>
      <c r="M115" s="57" t="s">
        <v>1241</v>
      </c>
    </row>
    <row r="116" spans="1:13" ht="32">
      <c r="A116" s="53" t="s">
        <v>2788</v>
      </c>
      <c r="B116" s="47">
        <v>2</v>
      </c>
      <c r="C116" s="55">
        <v>2</v>
      </c>
      <c r="D116" s="57" t="s">
        <v>2707</v>
      </c>
      <c r="E116" s="53" t="s">
        <v>1227</v>
      </c>
      <c r="F116" s="35" t="s">
        <v>2789</v>
      </c>
      <c r="G116" s="119" t="s">
        <v>2790</v>
      </c>
      <c r="H116" s="42" t="s">
        <v>405</v>
      </c>
      <c r="I116" s="51" t="s">
        <v>19</v>
      </c>
      <c r="J116" s="65"/>
      <c r="K116" s="51" t="s">
        <v>20</v>
      </c>
      <c r="L116" s="69"/>
      <c r="M116" s="57" t="s">
        <v>1241</v>
      </c>
    </row>
    <row r="117" spans="1:13" ht="32">
      <c r="A117" s="53" t="s">
        <v>2791</v>
      </c>
      <c r="B117" s="47"/>
      <c r="C117" s="55">
        <v>2</v>
      </c>
      <c r="D117" s="57" t="s">
        <v>2707</v>
      </c>
      <c r="E117" s="53" t="s">
        <v>1227</v>
      </c>
      <c r="F117" s="35" t="s">
        <v>2792</v>
      </c>
      <c r="G117" s="119" t="s">
        <v>2793</v>
      </c>
      <c r="H117" s="42" t="s">
        <v>405</v>
      </c>
      <c r="I117" s="51" t="s">
        <v>19</v>
      </c>
      <c r="J117" s="65"/>
      <c r="K117" s="51" t="s">
        <v>20</v>
      </c>
      <c r="L117" s="69"/>
      <c r="M117" s="57" t="s">
        <v>1241</v>
      </c>
    </row>
    <row r="118" spans="1:13">
      <c r="A118" s="53" t="s">
        <v>2794</v>
      </c>
      <c r="B118" s="47"/>
      <c r="C118" s="55">
        <v>2</v>
      </c>
      <c r="D118" s="57" t="s">
        <v>2707</v>
      </c>
      <c r="E118" s="53" t="s">
        <v>85</v>
      </c>
      <c r="F118" s="33" t="s">
        <v>2795</v>
      </c>
      <c r="G118" s="118" t="s">
        <v>2796</v>
      </c>
      <c r="H118" s="42" t="s">
        <v>2797</v>
      </c>
      <c r="I118" s="51" t="s">
        <v>19</v>
      </c>
      <c r="J118" s="65"/>
      <c r="K118" s="51" t="s">
        <v>20</v>
      </c>
      <c r="L118" s="69"/>
      <c r="M118" s="51"/>
    </row>
    <row r="119" spans="1:13">
      <c r="A119" s="53" t="s">
        <v>2798</v>
      </c>
      <c r="B119" s="47"/>
      <c r="C119" s="55">
        <v>2</v>
      </c>
      <c r="D119" s="57" t="s">
        <v>2707</v>
      </c>
      <c r="E119" s="53" t="s">
        <v>85</v>
      </c>
      <c r="F119" s="35" t="s">
        <v>2799</v>
      </c>
      <c r="G119" s="119" t="s">
        <v>2800</v>
      </c>
      <c r="H119" s="42" t="s">
        <v>2801</v>
      </c>
      <c r="I119" s="51" t="s">
        <v>19</v>
      </c>
      <c r="J119" s="65"/>
      <c r="K119" s="51" t="s">
        <v>20</v>
      </c>
      <c r="L119" s="69"/>
      <c r="M119" s="51" t="s">
        <v>57</v>
      </c>
    </row>
    <row r="120" spans="1:13" ht="32">
      <c r="A120" s="53" t="s">
        <v>2802</v>
      </c>
      <c r="B120" s="47"/>
      <c r="C120" s="55">
        <v>2</v>
      </c>
      <c r="D120" s="57" t="s">
        <v>2707</v>
      </c>
      <c r="E120" s="53" t="s">
        <v>85</v>
      </c>
      <c r="F120" s="33" t="s">
        <v>2803</v>
      </c>
      <c r="G120" s="118" t="s">
        <v>2804</v>
      </c>
      <c r="H120" s="42" t="s">
        <v>2805</v>
      </c>
      <c r="I120" s="51" t="s">
        <v>19</v>
      </c>
      <c r="J120" s="65"/>
      <c r="K120" s="51" t="s">
        <v>20</v>
      </c>
      <c r="L120" s="69"/>
      <c r="M120" s="51"/>
    </row>
    <row r="121" spans="1:13">
      <c r="A121" s="53" t="s">
        <v>2806</v>
      </c>
      <c r="B121" s="47"/>
      <c r="C121" s="55">
        <v>3</v>
      </c>
      <c r="D121" s="57" t="s">
        <v>2707</v>
      </c>
      <c r="E121" s="53" t="s">
        <v>85</v>
      </c>
      <c r="F121" s="33" t="s">
        <v>2807</v>
      </c>
      <c r="G121" s="118" t="s">
        <v>2808</v>
      </c>
      <c r="H121" s="42" t="s">
        <v>405</v>
      </c>
      <c r="I121" s="51" t="s">
        <v>33</v>
      </c>
      <c r="J121" s="65"/>
      <c r="K121" s="51" t="s">
        <v>20</v>
      </c>
      <c r="L121" s="69"/>
      <c r="M121" s="51"/>
    </row>
    <row r="122" spans="1:13">
      <c r="A122" s="53" t="s">
        <v>2809</v>
      </c>
      <c r="B122" s="47">
        <v>3</v>
      </c>
      <c r="C122" s="55">
        <v>3</v>
      </c>
      <c r="D122" s="57" t="s">
        <v>2707</v>
      </c>
      <c r="E122" s="53" t="s">
        <v>1298</v>
      </c>
      <c r="F122" s="35" t="s">
        <v>2810</v>
      </c>
      <c r="G122" s="119" t="s">
        <v>2811</v>
      </c>
      <c r="H122" s="42" t="s">
        <v>2812</v>
      </c>
      <c r="I122" s="51" t="s">
        <v>19</v>
      </c>
      <c r="J122" s="65"/>
      <c r="K122" s="51" t="s">
        <v>20</v>
      </c>
      <c r="L122" s="69"/>
      <c r="M122" s="51" t="s">
        <v>57</v>
      </c>
    </row>
    <row r="123" spans="1:13">
      <c r="A123" s="53" t="s">
        <v>2813</v>
      </c>
      <c r="B123" s="47">
        <v>3</v>
      </c>
      <c r="C123" s="55">
        <v>3</v>
      </c>
      <c r="D123" s="57" t="s">
        <v>2707</v>
      </c>
      <c r="E123" s="53" t="s">
        <v>2814</v>
      </c>
      <c r="F123" s="35" t="s">
        <v>2815</v>
      </c>
      <c r="G123" s="119" t="s">
        <v>2816</v>
      </c>
      <c r="H123" s="42" t="s">
        <v>405</v>
      </c>
      <c r="I123" s="51" t="s">
        <v>236</v>
      </c>
      <c r="J123" s="65"/>
      <c r="K123" s="51" t="s">
        <v>20</v>
      </c>
      <c r="L123" s="69"/>
      <c r="M123" s="51" t="s">
        <v>57</v>
      </c>
    </row>
    <row r="124" spans="1:13">
      <c r="A124" s="53" t="s">
        <v>2817</v>
      </c>
      <c r="B124" s="47">
        <v>3</v>
      </c>
      <c r="C124" s="55">
        <v>3</v>
      </c>
      <c r="D124" s="57" t="s">
        <v>2707</v>
      </c>
      <c r="E124" s="53" t="s">
        <v>2814</v>
      </c>
      <c r="F124" s="35" t="s">
        <v>2818</v>
      </c>
      <c r="G124" s="119" t="s">
        <v>2819</v>
      </c>
      <c r="H124" s="42" t="s">
        <v>405</v>
      </c>
      <c r="I124" s="51" t="s">
        <v>236</v>
      </c>
      <c r="J124" s="65"/>
      <c r="K124" s="51" t="s">
        <v>20</v>
      </c>
      <c r="L124" s="69"/>
      <c r="M124" s="51" t="s">
        <v>57</v>
      </c>
    </row>
    <row r="125" spans="1:13">
      <c r="A125" s="53" t="s">
        <v>2820</v>
      </c>
      <c r="B125" s="47">
        <v>3</v>
      </c>
      <c r="C125" s="55">
        <v>3</v>
      </c>
      <c r="D125" s="57" t="s">
        <v>2707</v>
      </c>
      <c r="E125" s="53" t="s">
        <v>2814</v>
      </c>
      <c r="F125" s="35" t="s">
        <v>2821</v>
      </c>
      <c r="G125" s="119" t="s">
        <v>2822</v>
      </c>
      <c r="H125" s="42" t="s">
        <v>405</v>
      </c>
      <c r="I125" s="51" t="s">
        <v>236</v>
      </c>
      <c r="J125" s="65"/>
      <c r="K125" s="51" t="s">
        <v>88</v>
      </c>
      <c r="L125" s="69"/>
      <c r="M125" s="51" t="s">
        <v>57</v>
      </c>
    </row>
    <row r="126" spans="1:13">
      <c r="A126" s="53" t="s">
        <v>2823</v>
      </c>
      <c r="B126" s="47">
        <v>3</v>
      </c>
      <c r="C126" s="55">
        <v>3</v>
      </c>
      <c r="D126" s="57" t="s">
        <v>2707</v>
      </c>
      <c r="E126" s="53" t="s">
        <v>2814</v>
      </c>
      <c r="F126" s="35" t="s">
        <v>2824</v>
      </c>
      <c r="G126" s="119" t="s">
        <v>2825</v>
      </c>
      <c r="H126" s="42" t="s">
        <v>405</v>
      </c>
      <c r="I126" s="51" t="s">
        <v>236</v>
      </c>
      <c r="J126" s="65"/>
      <c r="K126" s="51" t="s">
        <v>20</v>
      </c>
      <c r="L126" s="69"/>
      <c r="M126" s="51" t="s">
        <v>57</v>
      </c>
    </row>
    <row r="127" spans="1:13">
      <c r="A127" s="53" t="s">
        <v>2826</v>
      </c>
      <c r="B127" s="47">
        <v>3</v>
      </c>
      <c r="C127" s="55">
        <v>3</v>
      </c>
      <c r="D127" s="57" t="s">
        <v>2707</v>
      </c>
      <c r="E127" s="53" t="s">
        <v>2814</v>
      </c>
      <c r="F127" s="35" t="s">
        <v>2827</v>
      </c>
      <c r="G127" s="119" t="s">
        <v>2828</v>
      </c>
      <c r="H127" s="42" t="s">
        <v>405</v>
      </c>
      <c r="I127" s="51" t="s">
        <v>236</v>
      </c>
      <c r="J127" s="65"/>
      <c r="K127" s="51" t="s">
        <v>20</v>
      </c>
      <c r="L127" s="69"/>
      <c r="M127" s="51" t="s">
        <v>57</v>
      </c>
    </row>
    <row r="128" spans="1:13">
      <c r="A128" s="53" t="s">
        <v>2829</v>
      </c>
      <c r="B128" s="47">
        <v>3</v>
      </c>
      <c r="C128" s="55">
        <v>3</v>
      </c>
      <c r="D128" s="57" t="s">
        <v>2707</v>
      </c>
      <c r="E128" s="53" t="s">
        <v>2814</v>
      </c>
      <c r="F128" s="35" t="s">
        <v>2830</v>
      </c>
      <c r="G128" s="119" t="s">
        <v>2831</v>
      </c>
      <c r="H128" s="42" t="s">
        <v>405</v>
      </c>
      <c r="I128" s="51" t="s">
        <v>236</v>
      </c>
      <c r="J128" s="65"/>
      <c r="K128" s="51" t="s">
        <v>20</v>
      </c>
      <c r="L128" s="69"/>
      <c r="M128" s="51" t="s">
        <v>57</v>
      </c>
    </row>
    <row r="129" spans="1:13">
      <c r="A129" s="53" t="s">
        <v>2832</v>
      </c>
      <c r="B129" s="47">
        <v>3</v>
      </c>
      <c r="C129" s="55">
        <v>3</v>
      </c>
      <c r="D129" s="57" t="s">
        <v>2707</v>
      </c>
      <c r="E129" s="53" t="s">
        <v>2814</v>
      </c>
      <c r="F129" s="35" t="s">
        <v>2833</v>
      </c>
      <c r="G129" s="119" t="s">
        <v>2834</v>
      </c>
      <c r="H129" s="42" t="s">
        <v>405</v>
      </c>
      <c r="I129" s="51" t="s">
        <v>236</v>
      </c>
      <c r="J129" s="65"/>
      <c r="K129" s="51" t="s">
        <v>20</v>
      </c>
      <c r="L129" s="69"/>
      <c r="M129" s="51" t="s">
        <v>57</v>
      </c>
    </row>
    <row r="130" spans="1:13">
      <c r="A130" s="53" t="s">
        <v>2835</v>
      </c>
      <c r="B130" s="47"/>
      <c r="C130" s="55">
        <v>2</v>
      </c>
      <c r="D130" s="57" t="s">
        <v>2707</v>
      </c>
      <c r="E130" s="53" t="s">
        <v>1336</v>
      </c>
      <c r="F130" s="33" t="s">
        <v>2836</v>
      </c>
      <c r="G130" s="118" t="s">
        <v>2837</v>
      </c>
      <c r="H130" s="42" t="s">
        <v>2838</v>
      </c>
      <c r="I130" s="51" t="s">
        <v>236</v>
      </c>
      <c r="J130" s="65"/>
      <c r="K130" s="51" t="s">
        <v>20</v>
      </c>
      <c r="L130" s="69"/>
      <c r="M130" s="51"/>
    </row>
    <row r="131" spans="1:13">
      <c r="A131" s="53" t="s">
        <v>2839</v>
      </c>
      <c r="B131" s="47">
        <v>2</v>
      </c>
      <c r="C131" s="55">
        <v>2</v>
      </c>
      <c r="D131" s="57" t="s">
        <v>2707</v>
      </c>
      <c r="E131" s="53" t="s">
        <v>1336</v>
      </c>
      <c r="F131" s="35" t="s">
        <v>2840</v>
      </c>
      <c r="G131" s="119" t="s">
        <v>2841</v>
      </c>
      <c r="H131" s="42" t="s">
        <v>2842</v>
      </c>
      <c r="I131" s="51" t="s">
        <v>236</v>
      </c>
      <c r="J131" s="65"/>
      <c r="K131" s="51" t="s">
        <v>20</v>
      </c>
      <c r="L131" s="69"/>
      <c r="M131" s="51" t="s">
        <v>57</v>
      </c>
    </row>
    <row r="132" spans="1:13" ht="32">
      <c r="A132" s="53" t="s">
        <v>2843</v>
      </c>
      <c r="B132" s="47">
        <v>2</v>
      </c>
      <c r="C132" s="55">
        <v>2</v>
      </c>
      <c r="D132" s="57" t="s">
        <v>2707</v>
      </c>
      <c r="E132" s="53" t="s">
        <v>1336</v>
      </c>
      <c r="F132" s="35" t="s">
        <v>2844</v>
      </c>
      <c r="G132" s="119" t="s">
        <v>2845</v>
      </c>
      <c r="H132" s="42" t="s">
        <v>405</v>
      </c>
      <c r="I132" s="51" t="s">
        <v>236</v>
      </c>
      <c r="J132" s="65"/>
      <c r="K132" s="51" t="s">
        <v>20</v>
      </c>
      <c r="L132" s="69"/>
      <c r="M132" s="51" t="s">
        <v>57</v>
      </c>
    </row>
    <row r="133" spans="1:13" ht="32">
      <c r="A133" s="53" t="s">
        <v>2846</v>
      </c>
      <c r="B133" s="47">
        <v>2</v>
      </c>
      <c r="C133" s="55">
        <v>2</v>
      </c>
      <c r="D133" s="57" t="s">
        <v>2707</v>
      </c>
      <c r="E133" s="53" t="s">
        <v>1336</v>
      </c>
      <c r="F133" s="35" t="s">
        <v>2847</v>
      </c>
      <c r="G133" s="119" t="s">
        <v>2848</v>
      </c>
      <c r="H133" s="42" t="s">
        <v>2849</v>
      </c>
      <c r="I133" s="51" t="s">
        <v>236</v>
      </c>
      <c r="J133" s="65"/>
      <c r="K133" s="51" t="s">
        <v>20</v>
      </c>
      <c r="L133" s="69"/>
      <c r="M133" s="51" t="s">
        <v>57</v>
      </c>
    </row>
    <row r="134" spans="1:13">
      <c r="A134" s="53" t="s">
        <v>2850</v>
      </c>
      <c r="B134" s="47">
        <v>3</v>
      </c>
      <c r="C134" s="55">
        <v>2</v>
      </c>
      <c r="D134" s="57" t="s">
        <v>2707</v>
      </c>
      <c r="E134" s="53" t="s">
        <v>1336</v>
      </c>
      <c r="F134" s="35" t="s">
        <v>2851</v>
      </c>
      <c r="G134" s="119" t="s">
        <v>2852</v>
      </c>
      <c r="H134" s="42" t="s">
        <v>2853</v>
      </c>
      <c r="I134" s="51" t="s">
        <v>236</v>
      </c>
      <c r="J134" s="65"/>
      <c r="K134" s="51" t="s">
        <v>20</v>
      </c>
      <c r="L134" s="69"/>
      <c r="M134" s="51" t="s">
        <v>1340</v>
      </c>
    </row>
  </sheetData>
  <autoFilter ref="A1:M134" xr:uid="{C3968900-9CDF-48E7-8398-E07950B76523}"/>
  <sortState xmlns:xlrd2="http://schemas.microsoft.com/office/spreadsheetml/2017/richdata2" ref="B134:M134">
    <sortCondition ref="E134"/>
  </sortState>
  <phoneticPr fontId="2" type="noConversion"/>
  <conditionalFormatting sqref="A1 B1:C1048576">
    <cfRule type="cellIs" dxfId="3" priority="2" operator="equal">
      <formula>1</formula>
    </cfRule>
    <cfRule type="cellIs" dxfId="2" priority="3" operator="equal">
      <formula>2</formula>
    </cfRule>
    <cfRule type="cellIs" dxfId="1" priority="4" operator="equal">
      <formula>3</formula>
    </cfRule>
  </conditionalFormatting>
  <dataValidations disablePrompts="1" count="1">
    <dataValidation type="list" allowBlank="1" showInputMessage="1" showErrorMessage="1" sqref="E95:E96" xr:uid="{18C7A405-BC0F-40FC-9CCC-48422DEB82C9}">
      <formula1>#REF!</formula1>
    </dataValidation>
  </dataValidations>
  <hyperlinks>
    <hyperlink ref="L15" r:id="rId1" xr:uid="{FBFB9F23-E141-4D9A-AD93-609AB5C5F2CB}"/>
    <hyperlink ref="M85" r:id="rId2" display="https://fews.net/data/livelihood-zones" xr:uid="{8072EEC0-BAFF-416A-A392-CDA0B7C9A9BE}"/>
    <hyperlink ref="L85" r:id="rId3" display="https://fews.net/data/livelihood-zones" xr:uid="{8946D948-CADB-410E-96C7-CEF42BBE807F}"/>
    <hyperlink ref="L16:L19" r:id="rId4" display="WG-SS" xr:uid="{636B74B7-EB8B-436B-B9C7-85EFDE4E4538}"/>
  </hyperlinks>
  <pageMargins left="0.7" right="0.7" top="0.75" bottom="0.75" header="0.3" footer="0.3"/>
  <pageSetup paperSize="9" orientation="portrait" verticalDpi="0" r:id="rId5"/>
  <ignoredErrors>
    <ignoredError sqref="A128:A134" numberStoredAsText="1"/>
  </ignoredErrors>
  <legacy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82F5C-CD8D-4D8B-BA26-FEC4EAAE4128}">
  <sheetPr codeName="Sheet7">
    <tabColor theme="8" tint="-0.249977111117893"/>
  </sheetPr>
  <dimension ref="A1:G152"/>
  <sheetViews>
    <sheetView topLeftCell="A128" zoomScale="80" zoomScaleNormal="80" workbookViewId="0">
      <selection activeCell="E71" sqref="E71"/>
    </sheetView>
  </sheetViews>
  <sheetFormatPr defaultColWidth="15.81640625" defaultRowHeight="14.5"/>
  <cols>
    <col min="1" max="1" width="9.453125" style="17" customWidth="1"/>
    <col min="2" max="2" width="26.453125" style="15" customWidth="1"/>
    <col min="3" max="3" width="26.453125" style="21" customWidth="1"/>
    <col min="4" max="4" width="26.54296875" style="17" customWidth="1"/>
    <col min="5" max="5" width="116.1796875" style="18" customWidth="1"/>
    <col min="6" max="6" width="35.453125" style="19" customWidth="1"/>
    <col min="7" max="7" width="53.54296875" style="17" customWidth="1"/>
  </cols>
  <sheetData>
    <row r="1" spans="1:7" s="5" customFormat="1">
      <c r="A1" s="3" t="s">
        <v>2854</v>
      </c>
      <c r="B1" s="1" t="s">
        <v>2855</v>
      </c>
      <c r="C1" s="2" t="s">
        <v>2856</v>
      </c>
      <c r="D1" s="4" t="s">
        <v>2857</v>
      </c>
      <c r="E1" s="4" t="s">
        <v>2858</v>
      </c>
      <c r="F1" s="4" t="s">
        <v>2859</v>
      </c>
      <c r="G1" s="4" t="s">
        <v>2860</v>
      </c>
    </row>
    <row r="2" spans="1:7">
      <c r="A2" s="8" t="s">
        <v>2329</v>
      </c>
      <c r="B2" s="6" t="s">
        <v>2861</v>
      </c>
      <c r="C2" s="7" t="s">
        <v>2862</v>
      </c>
      <c r="D2" s="8" t="s">
        <v>2863</v>
      </c>
      <c r="E2" s="180" t="s">
        <v>2864</v>
      </c>
      <c r="F2" s="180" t="s">
        <v>2865</v>
      </c>
      <c r="G2" s="8" t="s">
        <v>2866</v>
      </c>
    </row>
    <row r="3" spans="1:7">
      <c r="A3" s="8" t="s">
        <v>2867</v>
      </c>
      <c r="B3" s="6" t="s">
        <v>2861</v>
      </c>
      <c r="C3" s="7" t="s">
        <v>2862</v>
      </c>
      <c r="D3" s="8" t="s">
        <v>2868</v>
      </c>
      <c r="E3" s="180" t="s">
        <v>2869</v>
      </c>
      <c r="F3" s="180" t="s">
        <v>2870</v>
      </c>
      <c r="G3" s="8" t="s">
        <v>2866</v>
      </c>
    </row>
    <row r="4" spans="1:7">
      <c r="A4" s="8" t="s">
        <v>2338</v>
      </c>
      <c r="B4" s="6" t="s">
        <v>2861</v>
      </c>
      <c r="C4" s="7" t="s">
        <v>2862</v>
      </c>
      <c r="D4" s="8" t="s">
        <v>2871</v>
      </c>
      <c r="E4" s="181" t="s">
        <v>2872</v>
      </c>
      <c r="F4" s="9" t="s">
        <v>2873</v>
      </c>
      <c r="G4" s="8" t="s">
        <v>2874</v>
      </c>
    </row>
    <row r="5" spans="1:7">
      <c r="A5" s="8" t="s">
        <v>2353</v>
      </c>
      <c r="B5" s="6" t="s">
        <v>2861</v>
      </c>
      <c r="C5" s="7" t="s">
        <v>2862</v>
      </c>
      <c r="D5" s="8" t="s">
        <v>2875</v>
      </c>
      <c r="E5" s="187" t="s">
        <v>2876</v>
      </c>
      <c r="F5" s="9" t="s">
        <v>2873</v>
      </c>
      <c r="G5" s="8" t="s">
        <v>2866</v>
      </c>
    </row>
    <row r="6" spans="1:7">
      <c r="A6" s="8" t="s">
        <v>2358</v>
      </c>
      <c r="B6" s="6" t="s">
        <v>2861</v>
      </c>
      <c r="C6" s="7" t="s">
        <v>2862</v>
      </c>
      <c r="D6" s="8" t="s">
        <v>2877</v>
      </c>
      <c r="E6" s="180" t="s">
        <v>2878</v>
      </c>
      <c r="F6" s="9" t="s">
        <v>2873</v>
      </c>
      <c r="G6" s="8" t="s">
        <v>2866</v>
      </c>
    </row>
    <row r="7" spans="1:7">
      <c r="A7" s="8" t="s">
        <v>2362</v>
      </c>
      <c r="B7" s="6" t="s">
        <v>2861</v>
      </c>
      <c r="C7" s="7" t="s">
        <v>2862</v>
      </c>
      <c r="D7" s="8" t="s">
        <v>2879</v>
      </c>
      <c r="E7" s="180" t="s">
        <v>2880</v>
      </c>
      <c r="F7" s="9" t="s">
        <v>2873</v>
      </c>
      <c r="G7" s="8" t="s">
        <v>2866</v>
      </c>
    </row>
    <row r="8" spans="1:7">
      <c r="A8" s="8" t="s">
        <v>2366</v>
      </c>
      <c r="B8" s="6" t="s">
        <v>2861</v>
      </c>
      <c r="C8" s="7" t="s">
        <v>2862</v>
      </c>
      <c r="D8" s="8" t="s">
        <v>2881</v>
      </c>
      <c r="E8" s="187" t="s">
        <v>2882</v>
      </c>
      <c r="F8" s="9" t="s">
        <v>2873</v>
      </c>
      <c r="G8" s="8" t="s">
        <v>2866</v>
      </c>
    </row>
    <row r="9" spans="1:7">
      <c r="A9" s="8" t="s">
        <v>2883</v>
      </c>
      <c r="B9" s="6" t="s">
        <v>2861</v>
      </c>
      <c r="C9" s="7" t="s">
        <v>2862</v>
      </c>
      <c r="D9" s="11" t="s">
        <v>2884</v>
      </c>
      <c r="E9" s="187" t="s">
        <v>2885</v>
      </c>
      <c r="F9" s="9" t="s">
        <v>2886</v>
      </c>
      <c r="G9" s="8" t="s">
        <v>2887</v>
      </c>
    </row>
    <row r="10" spans="1:7">
      <c r="A10" s="8" t="s">
        <v>178</v>
      </c>
      <c r="B10" s="6" t="s">
        <v>2861</v>
      </c>
      <c r="C10" s="7" t="s">
        <v>2862</v>
      </c>
      <c r="D10" s="11" t="s">
        <v>2888</v>
      </c>
      <c r="E10" s="180" t="s">
        <v>2889</v>
      </c>
      <c r="F10" s="10" t="s">
        <v>2890</v>
      </c>
      <c r="G10" s="8" t="s">
        <v>2891</v>
      </c>
    </row>
    <row r="11" spans="1:7">
      <c r="A11" s="8" t="s">
        <v>2372</v>
      </c>
      <c r="B11" s="6" t="s">
        <v>2861</v>
      </c>
      <c r="C11" s="7" t="s">
        <v>2862</v>
      </c>
      <c r="D11" s="8" t="s">
        <v>2892</v>
      </c>
      <c r="E11" s="190" t="s">
        <v>2893</v>
      </c>
      <c r="F11" s="9" t="s">
        <v>2894</v>
      </c>
      <c r="G11" s="8" t="s">
        <v>2895</v>
      </c>
    </row>
    <row r="12" spans="1:7">
      <c r="A12" s="8" t="s">
        <v>2324</v>
      </c>
      <c r="B12" s="6" t="s">
        <v>2861</v>
      </c>
      <c r="C12" s="7" t="s">
        <v>2862</v>
      </c>
      <c r="D12" s="8" t="s">
        <v>2896</v>
      </c>
      <c r="E12" s="191" t="s">
        <v>2897</v>
      </c>
      <c r="F12" s="9"/>
      <c r="G12" s="8" t="s">
        <v>2898</v>
      </c>
    </row>
    <row r="13" spans="1:7">
      <c r="A13" s="8" t="s">
        <v>2316</v>
      </c>
      <c r="B13" s="6" t="s">
        <v>2861</v>
      </c>
      <c r="C13" s="7" t="s">
        <v>2862</v>
      </c>
      <c r="D13" s="8" t="s">
        <v>2899</v>
      </c>
      <c r="E13" s="191" t="s">
        <v>2900</v>
      </c>
      <c r="F13" s="9"/>
      <c r="G13" s="8" t="s">
        <v>2901</v>
      </c>
    </row>
    <row r="14" spans="1:7">
      <c r="A14" s="8" t="s">
        <v>2902</v>
      </c>
      <c r="B14" s="6" t="s">
        <v>2861</v>
      </c>
      <c r="C14" s="7" t="s">
        <v>2862</v>
      </c>
      <c r="D14" s="8" t="s">
        <v>2903</v>
      </c>
      <c r="E14" s="191" t="s">
        <v>2904</v>
      </c>
      <c r="F14" s="9"/>
      <c r="G14" s="8" t="s">
        <v>2905</v>
      </c>
    </row>
    <row r="15" spans="1:7">
      <c r="A15" s="8" t="s">
        <v>2906</v>
      </c>
      <c r="B15" s="6" t="s">
        <v>2861</v>
      </c>
      <c r="C15" s="7" t="s">
        <v>2862</v>
      </c>
      <c r="D15" s="8" t="s">
        <v>2907</v>
      </c>
      <c r="E15" s="191" t="s">
        <v>2908</v>
      </c>
      <c r="F15" s="9"/>
      <c r="G15" s="8" t="s">
        <v>2909</v>
      </c>
    </row>
    <row r="16" spans="1:7">
      <c r="A16" s="8" t="s">
        <v>2469</v>
      </c>
      <c r="B16" s="6" t="s">
        <v>2861</v>
      </c>
      <c r="C16" s="7" t="s">
        <v>2910</v>
      </c>
      <c r="D16" s="8" t="s">
        <v>2911</v>
      </c>
      <c r="E16" s="180" t="s">
        <v>2912</v>
      </c>
      <c r="F16" s="9" t="s">
        <v>2913</v>
      </c>
      <c r="G16" s="8" t="s">
        <v>2914</v>
      </c>
    </row>
    <row r="17" spans="1:7">
      <c r="A17" s="8" t="s">
        <v>2475</v>
      </c>
      <c r="B17" s="6" t="s">
        <v>2861</v>
      </c>
      <c r="C17" s="7" t="s">
        <v>2910</v>
      </c>
      <c r="D17" s="8" t="s">
        <v>2915</v>
      </c>
      <c r="E17" s="180" t="s">
        <v>2916</v>
      </c>
      <c r="F17" s="9" t="s">
        <v>2917</v>
      </c>
      <c r="G17" s="8" t="s">
        <v>2895</v>
      </c>
    </row>
    <row r="18" spans="1:7">
      <c r="A18" s="8" t="s">
        <v>2484</v>
      </c>
      <c r="B18" s="6" t="s">
        <v>2861</v>
      </c>
      <c r="C18" s="7" t="s">
        <v>2910</v>
      </c>
      <c r="D18" s="8" t="s">
        <v>2918</v>
      </c>
      <c r="E18" s="180" t="s">
        <v>2919</v>
      </c>
      <c r="F18" s="9" t="s">
        <v>2920</v>
      </c>
      <c r="G18" s="8" t="s">
        <v>2921</v>
      </c>
    </row>
    <row r="19" spans="1:7">
      <c r="A19" s="8" t="s">
        <v>2497</v>
      </c>
      <c r="B19" s="6" t="s">
        <v>2861</v>
      </c>
      <c r="C19" s="7" t="s">
        <v>2910</v>
      </c>
      <c r="D19" s="11" t="s">
        <v>2922</v>
      </c>
      <c r="E19" s="187" t="s">
        <v>2923</v>
      </c>
      <c r="F19" s="9"/>
      <c r="G19" s="8" t="s">
        <v>2924</v>
      </c>
    </row>
    <row r="20" spans="1:7">
      <c r="A20" s="8" t="s">
        <v>2545</v>
      </c>
      <c r="B20" s="6" t="s">
        <v>2861</v>
      </c>
      <c r="C20" s="7" t="s">
        <v>2910</v>
      </c>
      <c r="D20" s="8" t="s">
        <v>2925</v>
      </c>
      <c r="E20" s="187" t="s">
        <v>2926</v>
      </c>
      <c r="F20" s="9" t="s">
        <v>2927</v>
      </c>
      <c r="G20" s="8" t="s">
        <v>2928</v>
      </c>
    </row>
    <row r="21" spans="1:7">
      <c r="A21" s="8" t="s">
        <v>2539</v>
      </c>
      <c r="B21" s="6" t="s">
        <v>2861</v>
      </c>
      <c r="C21" s="7" t="s">
        <v>2910</v>
      </c>
      <c r="D21" s="8" t="s">
        <v>2929</v>
      </c>
      <c r="E21" s="187" t="s">
        <v>2930</v>
      </c>
      <c r="F21" s="9" t="s">
        <v>2927</v>
      </c>
      <c r="G21" s="8" t="s">
        <v>2928</v>
      </c>
    </row>
    <row r="22" spans="1:7">
      <c r="A22" s="8" t="s">
        <v>2501</v>
      </c>
      <c r="B22" s="6" t="s">
        <v>2861</v>
      </c>
      <c r="C22" s="7" t="s">
        <v>2910</v>
      </c>
      <c r="D22" s="8" t="s">
        <v>2931</v>
      </c>
      <c r="E22" s="180" t="s">
        <v>2932</v>
      </c>
      <c r="F22" s="180" t="s">
        <v>2913</v>
      </c>
      <c r="G22" s="8" t="s">
        <v>2928</v>
      </c>
    </row>
    <row r="23" spans="1:7">
      <c r="A23" s="8" t="s">
        <v>2489</v>
      </c>
      <c r="B23" s="6" t="s">
        <v>2861</v>
      </c>
      <c r="C23" s="12" t="s">
        <v>2933</v>
      </c>
      <c r="D23" s="11" t="s">
        <v>2934</v>
      </c>
      <c r="E23" s="190" t="s">
        <v>2935</v>
      </c>
      <c r="F23" s="9" t="s">
        <v>2886</v>
      </c>
      <c r="G23" s="8" t="s">
        <v>2936</v>
      </c>
    </row>
    <row r="24" spans="1:7">
      <c r="A24" s="8" t="s">
        <v>2937</v>
      </c>
      <c r="B24" s="6" t="s">
        <v>2861</v>
      </c>
      <c r="C24" s="12" t="s">
        <v>2933</v>
      </c>
      <c r="D24" s="11" t="s">
        <v>2934</v>
      </c>
      <c r="E24" s="190" t="s">
        <v>2938</v>
      </c>
      <c r="F24" s="9" t="s">
        <v>2939</v>
      </c>
      <c r="G24" s="8" t="s">
        <v>2936</v>
      </c>
    </row>
    <row r="25" spans="1:7">
      <c r="A25" s="8" t="s">
        <v>2940</v>
      </c>
      <c r="B25" s="6" t="s">
        <v>2861</v>
      </c>
      <c r="C25" s="12" t="s">
        <v>2933</v>
      </c>
      <c r="D25" s="11" t="s">
        <v>2941</v>
      </c>
      <c r="E25" s="190" t="s">
        <v>2942</v>
      </c>
      <c r="F25" s="9" t="s">
        <v>2886</v>
      </c>
      <c r="G25" s="8" t="s">
        <v>2943</v>
      </c>
    </row>
    <row r="26" spans="1:7">
      <c r="A26" s="8" t="s">
        <v>2944</v>
      </c>
      <c r="B26" s="6" t="s">
        <v>2861</v>
      </c>
      <c r="C26" s="12" t="s">
        <v>2933</v>
      </c>
      <c r="D26" s="11" t="s">
        <v>2941</v>
      </c>
      <c r="E26" s="190" t="s">
        <v>2938</v>
      </c>
      <c r="F26" s="9" t="s">
        <v>2939</v>
      </c>
      <c r="G26" s="8" t="s">
        <v>2943</v>
      </c>
    </row>
    <row r="27" spans="1:7">
      <c r="A27" s="8" t="s">
        <v>2516</v>
      </c>
      <c r="B27" s="6" t="s">
        <v>2945</v>
      </c>
      <c r="C27" s="7" t="s">
        <v>2946</v>
      </c>
      <c r="D27" s="11" t="s">
        <v>2947</v>
      </c>
      <c r="E27" s="190" t="s">
        <v>2515</v>
      </c>
      <c r="F27" s="9" t="s">
        <v>2886</v>
      </c>
      <c r="G27" s="8" t="s">
        <v>2948</v>
      </c>
    </row>
    <row r="28" spans="1:7">
      <c r="A28" s="8" t="s">
        <v>2520</v>
      </c>
      <c r="B28" s="6" t="s">
        <v>2945</v>
      </c>
      <c r="C28" s="7" t="s">
        <v>2946</v>
      </c>
      <c r="D28" s="11" t="s">
        <v>2947</v>
      </c>
      <c r="E28" s="190" t="s">
        <v>2518</v>
      </c>
      <c r="F28" s="9" t="s">
        <v>2519</v>
      </c>
      <c r="G28" s="8" t="s">
        <v>2948</v>
      </c>
    </row>
    <row r="29" spans="1:7">
      <c r="A29" s="8" t="s">
        <v>2524</v>
      </c>
      <c r="B29" s="6" t="s">
        <v>2945</v>
      </c>
      <c r="C29" s="7" t="s">
        <v>2946</v>
      </c>
      <c r="D29" s="11" t="s">
        <v>2949</v>
      </c>
      <c r="E29" s="190" t="s">
        <v>2950</v>
      </c>
      <c r="F29" s="9" t="s">
        <v>2886</v>
      </c>
      <c r="G29" s="8" t="s">
        <v>2951</v>
      </c>
    </row>
    <row r="30" spans="1:7">
      <c r="A30" s="8" t="s">
        <v>2528</v>
      </c>
      <c r="B30" s="6" t="s">
        <v>2945</v>
      </c>
      <c r="C30" s="7" t="s">
        <v>2946</v>
      </c>
      <c r="D30" s="11" t="s">
        <v>2949</v>
      </c>
      <c r="E30" s="190" t="s">
        <v>2526</v>
      </c>
      <c r="F30" s="9" t="s">
        <v>2527</v>
      </c>
      <c r="G30" s="8" t="s">
        <v>2951</v>
      </c>
    </row>
    <row r="31" spans="1:7">
      <c r="A31" s="8" t="s">
        <v>2533</v>
      </c>
      <c r="B31" s="6" t="s">
        <v>2945</v>
      </c>
      <c r="C31" s="7" t="s">
        <v>2946</v>
      </c>
      <c r="D31" s="8" t="s">
        <v>2952</v>
      </c>
      <c r="E31" s="190" t="s">
        <v>2953</v>
      </c>
      <c r="F31" s="9" t="s">
        <v>2532</v>
      </c>
      <c r="G31" s="8" t="s">
        <v>2954</v>
      </c>
    </row>
    <row r="32" spans="1:7" ht="25">
      <c r="A32" s="8" t="s">
        <v>2438</v>
      </c>
      <c r="B32" s="6" t="s">
        <v>2945</v>
      </c>
      <c r="C32" s="7" t="s">
        <v>2955</v>
      </c>
      <c r="D32" s="11" t="s">
        <v>2956</v>
      </c>
      <c r="E32" s="189" t="s">
        <v>2437</v>
      </c>
      <c r="F32" s="9" t="s">
        <v>2957</v>
      </c>
      <c r="G32" s="8" t="s">
        <v>2958</v>
      </c>
    </row>
    <row r="33" spans="1:7">
      <c r="A33" s="8" t="s">
        <v>2442</v>
      </c>
      <c r="B33" s="6" t="s">
        <v>2945</v>
      </c>
      <c r="C33" s="7" t="s">
        <v>2955</v>
      </c>
      <c r="D33" s="11" t="s">
        <v>2956</v>
      </c>
      <c r="E33" s="190" t="s">
        <v>2440</v>
      </c>
      <c r="F33" s="9" t="s">
        <v>2441</v>
      </c>
      <c r="G33" s="8" t="s">
        <v>2958</v>
      </c>
    </row>
    <row r="34" spans="1:7">
      <c r="A34" s="8" t="s">
        <v>2446</v>
      </c>
      <c r="B34" s="6" t="s">
        <v>2945</v>
      </c>
      <c r="C34" s="7" t="s">
        <v>2955</v>
      </c>
      <c r="D34" s="11" t="s">
        <v>2959</v>
      </c>
      <c r="E34" s="190" t="s">
        <v>2445</v>
      </c>
      <c r="F34" s="9" t="s">
        <v>2960</v>
      </c>
      <c r="G34" s="8" t="s">
        <v>2954</v>
      </c>
    </row>
    <row r="35" spans="1:7">
      <c r="A35" s="8" t="s">
        <v>2450</v>
      </c>
      <c r="B35" s="6" t="s">
        <v>2945</v>
      </c>
      <c r="C35" s="7" t="s">
        <v>2955</v>
      </c>
      <c r="D35" s="11" t="s">
        <v>2959</v>
      </c>
      <c r="E35" s="190" t="s">
        <v>2448</v>
      </c>
      <c r="F35" s="9" t="s">
        <v>2449</v>
      </c>
      <c r="G35" s="8" t="s">
        <v>2954</v>
      </c>
    </row>
    <row r="36" spans="1:7">
      <c r="A36" s="8" t="s">
        <v>2454</v>
      </c>
      <c r="B36" s="6" t="s">
        <v>2945</v>
      </c>
      <c r="C36" s="7" t="s">
        <v>2955</v>
      </c>
      <c r="D36" s="11" t="s">
        <v>2961</v>
      </c>
      <c r="E36" s="190" t="s">
        <v>2453</v>
      </c>
      <c r="F36" s="9" t="s">
        <v>2957</v>
      </c>
      <c r="G36" s="8" t="s">
        <v>2954</v>
      </c>
    </row>
    <row r="37" spans="1:7">
      <c r="A37" s="8" t="s">
        <v>2458</v>
      </c>
      <c r="B37" s="6" t="s">
        <v>2945</v>
      </c>
      <c r="C37" s="7" t="s">
        <v>2955</v>
      </c>
      <c r="D37" s="11" t="s">
        <v>2961</v>
      </c>
      <c r="E37" s="190" t="s">
        <v>2456</v>
      </c>
      <c r="F37" s="9" t="s">
        <v>2457</v>
      </c>
      <c r="G37" s="8" t="s">
        <v>2954</v>
      </c>
    </row>
    <row r="38" spans="1:7">
      <c r="A38" s="8" t="s">
        <v>2413</v>
      </c>
      <c r="B38" s="6" t="s">
        <v>2945</v>
      </c>
      <c r="C38" s="7" t="s">
        <v>2962</v>
      </c>
      <c r="D38" s="11" t="s">
        <v>2963</v>
      </c>
      <c r="E38" s="190" t="s">
        <v>2412</v>
      </c>
      <c r="F38" s="9" t="s">
        <v>2957</v>
      </c>
      <c r="G38" s="8" t="s">
        <v>2964</v>
      </c>
    </row>
    <row r="39" spans="1:7">
      <c r="A39" s="8" t="s">
        <v>2418</v>
      </c>
      <c r="B39" s="6" t="s">
        <v>2945</v>
      </c>
      <c r="C39" s="7" t="s">
        <v>2962</v>
      </c>
      <c r="D39" s="11" t="s">
        <v>2963</v>
      </c>
      <c r="E39" s="190" t="s">
        <v>2416</v>
      </c>
      <c r="F39" s="9" t="s">
        <v>2417</v>
      </c>
      <c r="G39" s="8" t="s">
        <v>2964</v>
      </c>
    </row>
    <row r="40" spans="1:7">
      <c r="A40" s="8" t="s">
        <v>2422</v>
      </c>
      <c r="B40" s="6" t="s">
        <v>2945</v>
      </c>
      <c r="C40" s="7" t="s">
        <v>2962</v>
      </c>
      <c r="D40" s="11" t="s">
        <v>2963</v>
      </c>
      <c r="E40" s="190" t="s">
        <v>2420</v>
      </c>
      <c r="F40" s="9" t="s">
        <v>2421</v>
      </c>
      <c r="G40" s="8" t="s">
        <v>2964</v>
      </c>
    </row>
    <row r="41" spans="1:7">
      <c r="A41" s="8" t="s">
        <v>2425</v>
      </c>
      <c r="B41" s="6" t="s">
        <v>2945</v>
      </c>
      <c r="C41" s="7" t="s">
        <v>2962</v>
      </c>
      <c r="D41" s="8" t="s">
        <v>2965</v>
      </c>
      <c r="E41" s="191" t="s">
        <v>2966</v>
      </c>
      <c r="F41" s="9"/>
      <c r="G41" s="8" t="s">
        <v>2964</v>
      </c>
    </row>
    <row r="42" spans="1:7">
      <c r="A42" s="8" t="s">
        <v>2429</v>
      </c>
      <c r="B42" s="6" t="s">
        <v>2945</v>
      </c>
      <c r="C42" s="7" t="s">
        <v>2962</v>
      </c>
      <c r="D42" s="8" t="s">
        <v>2967</v>
      </c>
      <c r="E42" s="191" t="s">
        <v>2966</v>
      </c>
      <c r="F42" s="9"/>
      <c r="G42" s="8" t="s">
        <v>2964</v>
      </c>
    </row>
    <row r="43" spans="1:7">
      <c r="A43" s="8" t="s">
        <v>2433</v>
      </c>
      <c r="B43" s="6" t="s">
        <v>2945</v>
      </c>
      <c r="C43" s="7" t="s">
        <v>2962</v>
      </c>
      <c r="D43" s="8" t="s">
        <v>2968</v>
      </c>
      <c r="E43" s="191" t="s">
        <v>2966</v>
      </c>
      <c r="F43" s="9"/>
      <c r="G43" s="8" t="s">
        <v>2964</v>
      </c>
    </row>
    <row r="44" spans="1:7">
      <c r="A44" s="8" t="s">
        <v>2397</v>
      </c>
      <c r="B44" s="6" t="s">
        <v>2945</v>
      </c>
      <c r="C44" s="7" t="s">
        <v>2969</v>
      </c>
      <c r="D44" s="11" t="s">
        <v>2970</v>
      </c>
      <c r="E44" s="190" t="s">
        <v>2396</v>
      </c>
      <c r="F44" s="9" t="s">
        <v>2971</v>
      </c>
      <c r="G44" s="8" t="s">
        <v>2964</v>
      </c>
    </row>
    <row r="45" spans="1:7">
      <c r="A45" s="8" t="s">
        <v>2401</v>
      </c>
      <c r="B45" s="6" t="s">
        <v>2945</v>
      </c>
      <c r="C45" s="7" t="s">
        <v>2969</v>
      </c>
      <c r="D45" s="11" t="s">
        <v>2970</v>
      </c>
      <c r="E45" s="190" t="s">
        <v>2399</v>
      </c>
      <c r="F45" s="9" t="s">
        <v>2400</v>
      </c>
      <c r="G45" s="8" t="s">
        <v>2964</v>
      </c>
    </row>
    <row r="46" spans="1:7">
      <c r="A46" s="8" t="s">
        <v>2405</v>
      </c>
      <c r="B46" s="6" t="s">
        <v>2945</v>
      </c>
      <c r="C46" s="7" t="s">
        <v>2969</v>
      </c>
      <c r="D46" s="11" t="s">
        <v>2970</v>
      </c>
      <c r="E46" s="190" t="s">
        <v>2403</v>
      </c>
      <c r="F46" s="9" t="s">
        <v>2404</v>
      </c>
      <c r="G46" s="8" t="s">
        <v>2964</v>
      </c>
    </row>
    <row r="47" spans="1:7">
      <c r="A47" s="8" t="s">
        <v>2408</v>
      </c>
      <c r="B47" s="6" t="s">
        <v>2945</v>
      </c>
      <c r="C47" s="7" t="s">
        <v>2969</v>
      </c>
      <c r="D47" s="11" t="s">
        <v>2970</v>
      </c>
      <c r="E47" s="190" t="s">
        <v>2407</v>
      </c>
      <c r="F47" s="9" t="s">
        <v>2404</v>
      </c>
      <c r="G47" s="8" t="s">
        <v>2964</v>
      </c>
    </row>
    <row r="48" spans="1:7" ht="75">
      <c r="A48" s="8" t="s">
        <v>756</v>
      </c>
      <c r="B48" s="6" t="s">
        <v>2972</v>
      </c>
      <c r="C48" s="7" t="s">
        <v>2973</v>
      </c>
      <c r="D48" s="8" t="s">
        <v>2974</v>
      </c>
      <c r="E48" s="189" t="s">
        <v>2975</v>
      </c>
      <c r="F48" s="9" t="s">
        <v>2971</v>
      </c>
      <c r="G48" s="8" t="s">
        <v>2976</v>
      </c>
    </row>
    <row r="49" spans="1:7" ht="112.5">
      <c r="A49" s="8" t="s">
        <v>2977</v>
      </c>
      <c r="B49" s="6" t="s">
        <v>2972</v>
      </c>
      <c r="C49" s="7" t="s">
        <v>2973</v>
      </c>
      <c r="D49" s="8" t="s">
        <v>2978</v>
      </c>
      <c r="E49" s="189" t="s">
        <v>2979</v>
      </c>
      <c r="F49" s="9" t="s">
        <v>2980</v>
      </c>
      <c r="G49" s="8" t="s">
        <v>2981</v>
      </c>
    </row>
    <row r="50" spans="1:7">
      <c r="A50" s="8" t="s">
        <v>764</v>
      </c>
      <c r="B50" s="6" t="s">
        <v>2972</v>
      </c>
      <c r="C50" s="7" t="s">
        <v>2973</v>
      </c>
      <c r="D50" s="8" t="s">
        <v>2982</v>
      </c>
      <c r="E50" s="187" t="s">
        <v>2983</v>
      </c>
      <c r="F50" s="9" t="s">
        <v>2984</v>
      </c>
      <c r="G50" s="8" t="s">
        <v>2985</v>
      </c>
    </row>
    <row r="51" spans="1:7">
      <c r="A51" s="8" t="s">
        <v>752</v>
      </c>
      <c r="B51" s="6" t="s">
        <v>2972</v>
      </c>
      <c r="C51" s="7" t="s">
        <v>2973</v>
      </c>
      <c r="D51" s="8" t="s">
        <v>2986</v>
      </c>
      <c r="E51" s="187" t="s">
        <v>2987</v>
      </c>
      <c r="F51" s="9" t="s">
        <v>2988</v>
      </c>
      <c r="G51" s="8" t="s">
        <v>2989</v>
      </c>
    </row>
    <row r="52" spans="1:7">
      <c r="A52" s="8" t="s">
        <v>772</v>
      </c>
      <c r="B52" s="6" t="s">
        <v>2972</v>
      </c>
      <c r="C52" s="7" t="s">
        <v>2990</v>
      </c>
      <c r="D52" s="8" t="s">
        <v>2991</v>
      </c>
      <c r="E52" s="187" t="s">
        <v>2992</v>
      </c>
      <c r="F52" s="9" t="s">
        <v>2993</v>
      </c>
      <c r="G52" s="8" t="s">
        <v>2994</v>
      </c>
    </row>
    <row r="53" spans="1:7">
      <c r="A53" s="8" t="s">
        <v>783</v>
      </c>
      <c r="B53" s="6" t="s">
        <v>2972</v>
      </c>
      <c r="C53" s="7" t="s">
        <v>2990</v>
      </c>
      <c r="D53" s="8" t="s">
        <v>2995</v>
      </c>
      <c r="E53" s="193" t="s">
        <v>2996</v>
      </c>
      <c r="F53" s="9"/>
      <c r="G53" s="8" t="s">
        <v>2997</v>
      </c>
    </row>
    <row r="54" spans="1:7">
      <c r="A54" s="8" t="s">
        <v>2998</v>
      </c>
      <c r="B54" s="6" t="s">
        <v>2972</v>
      </c>
      <c r="C54" s="7" t="s">
        <v>2990</v>
      </c>
      <c r="D54" s="8" t="s">
        <v>2999</v>
      </c>
      <c r="E54" s="187" t="s">
        <v>3000</v>
      </c>
      <c r="F54" s="9" t="s">
        <v>2886</v>
      </c>
      <c r="G54" s="8" t="s">
        <v>3001</v>
      </c>
    </row>
    <row r="55" spans="1:7">
      <c r="A55" s="8" t="s">
        <v>3002</v>
      </c>
      <c r="B55" s="6" t="s">
        <v>2972</v>
      </c>
      <c r="C55" s="7" t="s">
        <v>3003</v>
      </c>
      <c r="D55" s="8" t="s">
        <v>3004</v>
      </c>
      <c r="E55" s="187" t="s">
        <v>3005</v>
      </c>
      <c r="F55" s="9" t="s">
        <v>426</v>
      </c>
      <c r="G55" s="8" t="s">
        <v>3006</v>
      </c>
    </row>
    <row r="56" spans="1:7">
      <c r="A56" s="8" t="s">
        <v>3007</v>
      </c>
      <c r="B56" s="6" t="s">
        <v>2972</v>
      </c>
      <c r="C56" s="7" t="s">
        <v>3003</v>
      </c>
      <c r="D56" s="8" t="s">
        <v>3008</v>
      </c>
      <c r="E56" s="187" t="s">
        <v>3009</v>
      </c>
      <c r="F56" s="9" t="s">
        <v>3010</v>
      </c>
      <c r="G56" s="8" t="s">
        <v>3011</v>
      </c>
    </row>
    <row r="57" spans="1:7">
      <c r="A57" s="8" t="s">
        <v>3012</v>
      </c>
      <c r="B57" s="6" t="s">
        <v>2972</v>
      </c>
      <c r="C57" s="7" t="s">
        <v>3003</v>
      </c>
      <c r="D57" s="8" t="s">
        <v>3013</v>
      </c>
      <c r="E57" s="187" t="s">
        <v>3014</v>
      </c>
      <c r="F57" s="9" t="s">
        <v>3015</v>
      </c>
      <c r="G57" s="8" t="s">
        <v>3011</v>
      </c>
    </row>
    <row r="58" spans="1:7">
      <c r="A58" s="8" t="s">
        <v>3016</v>
      </c>
      <c r="B58" s="6" t="s">
        <v>2972</v>
      </c>
      <c r="C58" s="7" t="s">
        <v>3017</v>
      </c>
      <c r="D58" s="8" t="s">
        <v>3018</v>
      </c>
      <c r="E58" s="187" t="s">
        <v>3019</v>
      </c>
      <c r="F58" s="9" t="s">
        <v>421</v>
      </c>
      <c r="G58" s="8" t="s">
        <v>3020</v>
      </c>
    </row>
    <row r="59" spans="1:7">
      <c r="A59" s="8" t="s">
        <v>746</v>
      </c>
      <c r="B59" s="6" t="s">
        <v>2972</v>
      </c>
      <c r="C59" s="7" t="s">
        <v>3017</v>
      </c>
      <c r="D59" s="8" t="s">
        <v>3021</v>
      </c>
      <c r="E59" s="187" t="s">
        <v>3022</v>
      </c>
      <c r="F59" s="9" t="s">
        <v>3023</v>
      </c>
      <c r="G59" s="8" t="s">
        <v>3024</v>
      </c>
    </row>
    <row r="60" spans="1:7">
      <c r="A60" s="8" t="s">
        <v>3025</v>
      </c>
      <c r="B60" s="6" t="s">
        <v>3026</v>
      </c>
      <c r="C60" s="7" t="s">
        <v>3027</v>
      </c>
      <c r="D60" s="8" t="s">
        <v>3028</v>
      </c>
      <c r="E60" s="193" t="s">
        <v>3029</v>
      </c>
      <c r="F60" s="9"/>
      <c r="G60" s="8" t="s">
        <v>3030</v>
      </c>
    </row>
    <row r="61" spans="1:7" ht="75">
      <c r="A61" s="8" t="s">
        <v>2176</v>
      </c>
      <c r="B61" s="6" t="s">
        <v>3026</v>
      </c>
      <c r="C61" s="7" t="s">
        <v>3027</v>
      </c>
      <c r="D61" s="11" t="s">
        <v>3031</v>
      </c>
      <c r="E61" s="189" t="s">
        <v>3032</v>
      </c>
      <c r="F61" s="9" t="s">
        <v>3033</v>
      </c>
      <c r="G61" s="8" t="s">
        <v>3034</v>
      </c>
    </row>
    <row r="62" spans="1:7" ht="50">
      <c r="A62" s="8" t="s">
        <v>3035</v>
      </c>
      <c r="B62" s="6" t="s">
        <v>3026</v>
      </c>
      <c r="C62" s="7" t="s">
        <v>3027</v>
      </c>
      <c r="D62" s="11" t="s">
        <v>3031</v>
      </c>
      <c r="E62" s="180" t="s">
        <v>3036</v>
      </c>
      <c r="F62" s="188" t="s">
        <v>3037</v>
      </c>
      <c r="G62" s="8" t="s">
        <v>3034</v>
      </c>
    </row>
    <row r="63" spans="1:7" ht="62.5">
      <c r="A63" s="8" t="s">
        <v>3038</v>
      </c>
      <c r="B63" s="6" t="s">
        <v>3026</v>
      </c>
      <c r="C63" s="7" t="s">
        <v>3027</v>
      </c>
      <c r="D63" s="11" t="s">
        <v>3031</v>
      </c>
      <c r="E63" s="180" t="s">
        <v>3039</v>
      </c>
      <c r="F63" s="188" t="s">
        <v>3040</v>
      </c>
      <c r="G63" s="8" t="s">
        <v>3034</v>
      </c>
    </row>
    <row r="64" spans="1:7" ht="37.5">
      <c r="A64" s="8" t="s">
        <v>1103</v>
      </c>
      <c r="B64" s="6" t="s">
        <v>3026</v>
      </c>
      <c r="C64" s="7" t="s">
        <v>3027</v>
      </c>
      <c r="D64" s="11" t="s">
        <v>3031</v>
      </c>
      <c r="E64" s="189" t="s">
        <v>3041</v>
      </c>
      <c r="F64" s="188" t="s">
        <v>3042</v>
      </c>
      <c r="G64" s="8" t="s">
        <v>3034</v>
      </c>
    </row>
    <row r="65" spans="1:7" ht="162.5">
      <c r="A65" s="8" t="s">
        <v>1082</v>
      </c>
      <c r="B65" s="6" t="s">
        <v>3026</v>
      </c>
      <c r="C65" s="7" t="s">
        <v>3027</v>
      </c>
      <c r="D65" s="8" t="s">
        <v>3043</v>
      </c>
      <c r="E65" s="180" t="s">
        <v>3044</v>
      </c>
      <c r="F65" s="188" t="s">
        <v>3045</v>
      </c>
      <c r="G65" s="8" t="s">
        <v>3046</v>
      </c>
    </row>
    <row r="66" spans="1:7" ht="200">
      <c r="A66" s="8" t="s">
        <v>813</v>
      </c>
      <c r="B66" s="6" t="s">
        <v>3026</v>
      </c>
      <c r="C66" s="7" t="s">
        <v>3027</v>
      </c>
      <c r="D66" s="11" t="s">
        <v>3047</v>
      </c>
      <c r="E66" s="189" t="s">
        <v>3048</v>
      </c>
      <c r="F66" s="188" t="s">
        <v>3049</v>
      </c>
      <c r="G66" s="8" t="s">
        <v>3050</v>
      </c>
    </row>
    <row r="67" spans="1:7" ht="25">
      <c r="A67" s="8" t="s">
        <v>818</v>
      </c>
      <c r="B67" s="6" t="s">
        <v>3026</v>
      </c>
      <c r="C67" s="7" t="s">
        <v>3027</v>
      </c>
      <c r="D67" s="11" t="s">
        <v>3047</v>
      </c>
      <c r="E67" s="189" t="s">
        <v>3051</v>
      </c>
      <c r="F67" s="9" t="s">
        <v>2960</v>
      </c>
      <c r="G67" s="8" t="s">
        <v>3050</v>
      </c>
    </row>
    <row r="68" spans="1:7" ht="62.5">
      <c r="A68" s="8" t="s">
        <v>789</v>
      </c>
      <c r="B68" s="6" t="s">
        <v>3026</v>
      </c>
      <c r="C68" s="7" t="s">
        <v>3027</v>
      </c>
      <c r="D68" s="11" t="s">
        <v>3047</v>
      </c>
      <c r="E68" s="189" t="s">
        <v>3052</v>
      </c>
      <c r="F68" s="188" t="s">
        <v>3053</v>
      </c>
      <c r="G68" s="8" t="s">
        <v>3050</v>
      </c>
    </row>
    <row r="69" spans="1:7" ht="25">
      <c r="A69" s="8" t="s">
        <v>3054</v>
      </c>
      <c r="B69" s="6" t="s">
        <v>3026</v>
      </c>
      <c r="C69" s="7" t="s">
        <v>3027</v>
      </c>
      <c r="D69" s="11" t="s">
        <v>3047</v>
      </c>
      <c r="E69" s="189" t="s">
        <v>3055</v>
      </c>
      <c r="F69" s="9" t="s">
        <v>3056</v>
      </c>
      <c r="G69" s="8" t="s">
        <v>3050</v>
      </c>
    </row>
    <row r="70" spans="1:7" ht="50">
      <c r="A70" s="8" t="s">
        <v>859</v>
      </c>
      <c r="B70" s="6" t="s">
        <v>3026</v>
      </c>
      <c r="C70" s="7" t="s">
        <v>3027</v>
      </c>
      <c r="D70" s="8" t="s">
        <v>3057</v>
      </c>
      <c r="E70" s="189" t="s">
        <v>3058</v>
      </c>
      <c r="F70" s="188" t="s">
        <v>3059</v>
      </c>
      <c r="G70" s="8" t="s">
        <v>3060</v>
      </c>
    </row>
    <row r="71" spans="1:7">
      <c r="A71" s="8" t="s">
        <v>3061</v>
      </c>
      <c r="B71" s="6" t="s">
        <v>3026</v>
      </c>
      <c r="C71" s="7" t="s">
        <v>3027</v>
      </c>
      <c r="D71" s="8" t="s">
        <v>3062</v>
      </c>
      <c r="E71" s="191" t="s">
        <v>3063</v>
      </c>
      <c r="F71" s="9"/>
      <c r="G71" s="8" t="s">
        <v>3064</v>
      </c>
    </row>
    <row r="72" spans="1:7" ht="62.5">
      <c r="A72" s="8" t="s">
        <v>315</v>
      </c>
      <c r="B72" s="6" t="s">
        <v>3026</v>
      </c>
      <c r="C72" s="7" t="s">
        <v>3027</v>
      </c>
      <c r="D72" s="8" t="s">
        <v>3065</v>
      </c>
      <c r="E72" s="189" t="s">
        <v>3066</v>
      </c>
      <c r="F72" s="9" t="s">
        <v>3067</v>
      </c>
      <c r="G72" s="8" t="s">
        <v>3068</v>
      </c>
    </row>
    <row r="73" spans="1:7" ht="312.5">
      <c r="A73" s="8" t="s">
        <v>371</v>
      </c>
      <c r="B73" s="6" t="s">
        <v>3026</v>
      </c>
      <c r="C73" s="7" t="s">
        <v>3027</v>
      </c>
      <c r="D73" s="8" t="s">
        <v>3069</v>
      </c>
      <c r="E73" s="180" t="s">
        <v>3070</v>
      </c>
      <c r="F73" s="188" t="s">
        <v>3071</v>
      </c>
      <c r="G73" s="8" t="s">
        <v>3072</v>
      </c>
    </row>
    <row r="74" spans="1:7">
      <c r="A74" s="8" t="s">
        <v>3073</v>
      </c>
      <c r="B74" s="6" t="s">
        <v>3026</v>
      </c>
      <c r="C74" s="7" t="s">
        <v>3027</v>
      </c>
      <c r="D74" s="11" t="s">
        <v>3074</v>
      </c>
      <c r="E74" s="187" t="s">
        <v>3075</v>
      </c>
      <c r="F74" s="9" t="s">
        <v>3056</v>
      </c>
      <c r="G74" s="8" t="s">
        <v>3076</v>
      </c>
    </row>
    <row r="75" spans="1:7">
      <c r="A75" s="8" t="s">
        <v>3077</v>
      </c>
      <c r="B75" s="6" t="s">
        <v>3026</v>
      </c>
      <c r="C75" s="7" t="s">
        <v>3027</v>
      </c>
      <c r="D75" s="11" t="s">
        <v>3074</v>
      </c>
      <c r="E75" s="187" t="s">
        <v>3078</v>
      </c>
      <c r="F75" s="9" t="s">
        <v>3079</v>
      </c>
      <c r="G75" s="8" t="s">
        <v>3076</v>
      </c>
    </row>
    <row r="76" spans="1:7">
      <c r="A76" s="8" t="s">
        <v>3080</v>
      </c>
      <c r="B76" s="6" t="s">
        <v>3026</v>
      </c>
      <c r="C76" s="7" t="s">
        <v>3027</v>
      </c>
      <c r="D76" s="8" t="s">
        <v>3081</v>
      </c>
      <c r="E76" s="187" t="s">
        <v>3082</v>
      </c>
      <c r="F76" s="9" t="s">
        <v>550</v>
      </c>
      <c r="G76" s="8" t="s">
        <v>3083</v>
      </c>
    </row>
    <row r="77" spans="1:7">
      <c r="A77" s="8" t="s">
        <v>174</v>
      </c>
      <c r="B77" s="6" t="s">
        <v>3026</v>
      </c>
      <c r="C77" s="7" t="s">
        <v>3027</v>
      </c>
      <c r="D77" s="8" t="s">
        <v>3084</v>
      </c>
      <c r="E77" s="187" t="s">
        <v>3085</v>
      </c>
      <c r="F77" s="9" t="s">
        <v>3086</v>
      </c>
      <c r="G77" s="8" t="s">
        <v>3087</v>
      </c>
    </row>
    <row r="78" spans="1:7">
      <c r="A78" s="8" t="s">
        <v>3088</v>
      </c>
      <c r="B78" s="6" t="s">
        <v>3026</v>
      </c>
      <c r="C78" s="7" t="s">
        <v>3027</v>
      </c>
      <c r="D78" s="8" t="s">
        <v>3089</v>
      </c>
      <c r="E78" s="187" t="s">
        <v>3090</v>
      </c>
      <c r="F78" s="9"/>
      <c r="G78" s="8" t="s">
        <v>3091</v>
      </c>
    </row>
    <row r="79" spans="1:7">
      <c r="A79" s="8" t="s">
        <v>197</v>
      </c>
      <c r="B79" s="6" t="s">
        <v>3026</v>
      </c>
      <c r="C79" s="7" t="s">
        <v>3027</v>
      </c>
      <c r="D79" s="8" t="s">
        <v>3092</v>
      </c>
      <c r="E79" s="187" t="s">
        <v>3093</v>
      </c>
      <c r="F79" s="9" t="s">
        <v>3094</v>
      </c>
      <c r="G79" s="8" t="s">
        <v>3091</v>
      </c>
    </row>
    <row r="80" spans="1:7">
      <c r="A80" s="8" t="s">
        <v>1033</v>
      </c>
      <c r="B80" s="6" t="s">
        <v>3026</v>
      </c>
      <c r="C80" s="7" t="s">
        <v>3027</v>
      </c>
      <c r="D80" s="8" t="s">
        <v>3095</v>
      </c>
      <c r="E80" s="180" t="s">
        <v>3096</v>
      </c>
      <c r="F80" s="9" t="s">
        <v>3097</v>
      </c>
      <c r="G80" s="8" t="s">
        <v>3098</v>
      </c>
    </row>
    <row r="81" spans="1:7" ht="137.5">
      <c r="A81" s="8" t="s">
        <v>306</v>
      </c>
      <c r="B81" s="6" t="s">
        <v>3026</v>
      </c>
      <c r="C81" s="7" t="s">
        <v>3099</v>
      </c>
      <c r="D81" s="8" t="s">
        <v>3100</v>
      </c>
      <c r="E81" s="194" t="s">
        <v>3101</v>
      </c>
      <c r="F81" s="9" t="s">
        <v>3102</v>
      </c>
      <c r="G81" s="8" t="s">
        <v>3103</v>
      </c>
    </row>
    <row r="82" spans="1:7">
      <c r="A82" s="8" t="s">
        <v>282</v>
      </c>
      <c r="B82" s="6" t="s">
        <v>3026</v>
      </c>
      <c r="C82" s="7" t="s">
        <v>3099</v>
      </c>
      <c r="D82" s="8" t="s">
        <v>3104</v>
      </c>
      <c r="E82" s="191" t="s">
        <v>3105</v>
      </c>
      <c r="F82" s="9"/>
      <c r="G82" s="8" t="s">
        <v>3103</v>
      </c>
    </row>
    <row r="83" spans="1:7">
      <c r="A83" s="8" t="s">
        <v>287</v>
      </c>
      <c r="B83" s="6" t="s">
        <v>3026</v>
      </c>
      <c r="C83" s="7" t="s">
        <v>3099</v>
      </c>
      <c r="D83" s="8" t="s">
        <v>3106</v>
      </c>
      <c r="E83" s="190" t="s">
        <v>3107</v>
      </c>
      <c r="F83" s="9" t="s">
        <v>3108</v>
      </c>
      <c r="G83" s="8" t="s">
        <v>3109</v>
      </c>
    </row>
    <row r="84" spans="1:7" ht="75">
      <c r="A84" s="8" t="s">
        <v>990</v>
      </c>
      <c r="B84" s="6" t="s">
        <v>3026</v>
      </c>
      <c r="C84" s="7" t="s">
        <v>3110</v>
      </c>
      <c r="D84" s="8" t="s">
        <v>3111</v>
      </c>
      <c r="E84" s="180" t="s">
        <v>3112</v>
      </c>
      <c r="F84" s="188" t="s">
        <v>3113</v>
      </c>
      <c r="G84" s="8" t="s">
        <v>3114</v>
      </c>
    </row>
    <row r="85" spans="1:7">
      <c r="A85" s="8" t="s">
        <v>985</v>
      </c>
      <c r="B85" s="6" t="s">
        <v>3026</v>
      </c>
      <c r="C85" s="7" t="s">
        <v>3110</v>
      </c>
      <c r="D85" s="8" t="s">
        <v>3115</v>
      </c>
      <c r="E85" s="190" t="s">
        <v>3116</v>
      </c>
      <c r="F85" s="9" t="s">
        <v>3117</v>
      </c>
      <c r="G85" s="8" t="s">
        <v>3118</v>
      </c>
    </row>
    <row r="86" spans="1:7">
      <c r="A86" s="8" t="s">
        <v>979</v>
      </c>
      <c r="B86" s="6" t="s">
        <v>3026</v>
      </c>
      <c r="C86" s="7" t="s">
        <v>3110</v>
      </c>
      <c r="D86" s="11" t="s">
        <v>3119</v>
      </c>
      <c r="E86" s="190" t="s">
        <v>3120</v>
      </c>
      <c r="F86" s="9"/>
      <c r="G86" s="8" t="s">
        <v>3121</v>
      </c>
    </row>
    <row r="87" spans="1:7">
      <c r="A87" s="8" t="s">
        <v>3122</v>
      </c>
      <c r="B87" s="6" t="s">
        <v>3026</v>
      </c>
      <c r="C87" s="7" t="s">
        <v>3110</v>
      </c>
      <c r="D87" s="11" t="s">
        <v>3119</v>
      </c>
      <c r="E87" s="190" t="s">
        <v>3123</v>
      </c>
      <c r="F87" s="9"/>
      <c r="G87" s="8" t="s">
        <v>3121</v>
      </c>
    </row>
    <row r="88" spans="1:7">
      <c r="A88" s="8" t="s">
        <v>970</v>
      </c>
      <c r="B88" s="6" t="s">
        <v>3026</v>
      </c>
      <c r="C88" s="7" t="s">
        <v>3110</v>
      </c>
      <c r="D88" s="8" t="s">
        <v>3124</v>
      </c>
      <c r="E88" s="190" t="s">
        <v>968</v>
      </c>
      <c r="F88" s="9" t="s">
        <v>969</v>
      </c>
      <c r="G88" s="8" t="s">
        <v>3125</v>
      </c>
    </row>
    <row r="89" spans="1:7">
      <c r="A89" s="8" t="s">
        <v>975</v>
      </c>
      <c r="B89" s="6" t="s">
        <v>3026</v>
      </c>
      <c r="C89" s="7" t="s">
        <v>3110</v>
      </c>
      <c r="D89" s="8" t="s">
        <v>3126</v>
      </c>
      <c r="E89" s="190" t="s">
        <v>973</v>
      </c>
      <c r="F89" s="9" t="s">
        <v>974</v>
      </c>
      <c r="G89" s="8" t="s">
        <v>3127</v>
      </c>
    </row>
    <row r="90" spans="1:7">
      <c r="A90" s="8" t="s">
        <v>936</v>
      </c>
      <c r="B90" s="6" t="s">
        <v>3026</v>
      </c>
      <c r="C90" s="7" t="s">
        <v>3110</v>
      </c>
      <c r="D90" s="8" t="s">
        <v>3128</v>
      </c>
      <c r="E90" s="190" t="s">
        <v>3129</v>
      </c>
      <c r="F90" s="9" t="s">
        <v>3130</v>
      </c>
      <c r="G90" s="8" t="s">
        <v>3131</v>
      </c>
    </row>
    <row r="91" spans="1:7">
      <c r="A91" s="8" t="s">
        <v>998</v>
      </c>
      <c r="B91" s="6" t="s">
        <v>3026</v>
      </c>
      <c r="C91" s="7" t="s">
        <v>3132</v>
      </c>
      <c r="D91" s="8" t="s">
        <v>3133</v>
      </c>
      <c r="E91" s="190" t="s">
        <v>3134</v>
      </c>
      <c r="F91" s="9"/>
      <c r="G91" s="8" t="s">
        <v>3135</v>
      </c>
    </row>
    <row r="92" spans="1:7">
      <c r="A92" s="8" t="s">
        <v>3136</v>
      </c>
      <c r="B92" s="6" t="s">
        <v>3026</v>
      </c>
      <c r="C92" s="7" t="s">
        <v>3132</v>
      </c>
      <c r="D92" s="11" t="s">
        <v>3137</v>
      </c>
      <c r="E92" s="190" t="s">
        <v>3138</v>
      </c>
      <c r="F92" s="9"/>
      <c r="G92" s="8" t="s">
        <v>3139</v>
      </c>
    </row>
    <row r="93" spans="1:7">
      <c r="A93" s="8" t="s">
        <v>3140</v>
      </c>
      <c r="B93" s="6" t="s">
        <v>3026</v>
      </c>
      <c r="C93" s="7" t="s">
        <v>3132</v>
      </c>
      <c r="D93" s="11" t="s">
        <v>3137</v>
      </c>
      <c r="E93" s="190" t="s">
        <v>3141</v>
      </c>
      <c r="F93" s="9" t="s">
        <v>3142</v>
      </c>
      <c r="G93" s="8" t="s">
        <v>3139</v>
      </c>
    </row>
    <row r="94" spans="1:7">
      <c r="A94" s="8" t="s">
        <v>3143</v>
      </c>
      <c r="B94" s="6" t="s">
        <v>3026</v>
      </c>
      <c r="C94" s="7" t="s">
        <v>3132</v>
      </c>
      <c r="D94" s="8" t="s">
        <v>3144</v>
      </c>
      <c r="E94" s="191" t="s">
        <v>3145</v>
      </c>
      <c r="F94" s="9"/>
      <c r="G94" s="8" t="s">
        <v>3146</v>
      </c>
    </row>
    <row r="95" spans="1:7">
      <c r="A95" s="8" t="s">
        <v>487</v>
      </c>
      <c r="B95" s="6" t="s">
        <v>3147</v>
      </c>
      <c r="C95" s="7" t="s">
        <v>3148</v>
      </c>
      <c r="D95" s="8" t="s">
        <v>3149</v>
      </c>
      <c r="E95" s="190" t="s">
        <v>3150</v>
      </c>
      <c r="F95" s="9" t="s">
        <v>486</v>
      </c>
      <c r="G95" s="8" t="s">
        <v>3151</v>
      </c>
    </row>
    <row r="96" spans="1:7">
      <c r="A96" s="8" t="s">
        <v>3152</v>
      </c>
      <c r="B96" s="6" t="s">
        <v>3147</v>
      </c>
      <c r="C96" s="7" t="s">
        <v>3148</v>
      </c>
      <c r="D96" s="8" t="s">
        <v>3153</v>
      </c>
      <c r="E96" s="190" t="s">
        <v>3154</v>
      </c>
      <c r="F96" s="9"/>
      <c r="G96" s="8" t="s">
        <v>3155</v>
      </c>
    </row>
    <row r="97" spans="1:7">
      <c r="A97" s="8" t="s">
        <v>492</v>
      </c>
      <c r="B97" s="6" t="s">
        <v>3147</v>
      </c>
      <c r="C97" s="7" t="s">
        <v>3148</v>
      </c>
      <c r="D97" s="8" t="s">
        <v>3156</v>
      </c>
      <c r="E97" s="190" t="s">
        <v>3157</v>
      </c>
      <c r="F97" s="9" t="s">
        <v>3158</v>
      </c>
      <c r="G97" s="8" t="s">
        <v>3159</v>
      </c>
    </row>
    <row r="98" spans="1:7">
      <c r="A98" s="8" t="s">
        <v>3160</v>
      </c>
      <c r="B98" s="6" t="s">
        <v>3147</v>
      </c>
      <c r="C98" s="7" t="s">
        <v>3148</v>
      </c>
      <c r="D98" s="8" t="s">
        <v>3161</v>
      </c>
      <c r="E98" s="190" t="s">
        <v>3162</v>
      </c>
      <c r="F98" s="9" t="s">
        <v>3158</v>
      </c>
      <c r="G98" s="8" t="s">
        <v>2895</v>
      </c>
    </row>
    <row r="99" spans="1:7">
      <c r="A99" s="8" t="s">
        <v>3163</v>
      </c>
      <c r="B99" s="6" t="s">
        <v>3147</v>
      </c>
      <c r="C99" s="7" t="s">
        <v>3148</v>
      </c>
      <c r="D99" s="11" t="s">
        <v>3164</v>
      </c>
      <c r="E99" s="190" t="s">
        <v>3165</v>
      </c>
      <c r="F99" s="9"/>
      <c r="G99" s="8" t="s">
        <v>3166</v>
      </c>
    </row>
    <row r="100" spans="1:7">
      <c r="A100" s="8" t="s">
        <v>3167</v>
      </c>
      <c r="B100" s="6" t="s">
        <v>3147</v>
      </c>
      <c r="C100" s="7" t="s">
        <v>3148</v>
      </c>
      <c r="D100" s="11" t="s">
        <v>3164</v>
      </c>
      <c r="E100" s="190" t="s">
        <v>3168</v>
      </c>
      <c r="F100" s="9"/>
      <c r="G100" s="8" t="s">
        <v>3166</v>
      </c>
    </row>
    <row r="101" spans="1:7">
      <c r="A101" s="8" t="s">
        <v>3169</v>
      </c>
      <c r="B101" s="6" t="s">
        <v>3147</v>
      </c>
      <c r="C101" s="7" t="s">
        <v>3148</v>
      </c>
      <c r="D101" s="8" t="s">
        <v>3170</v>
      </c>
      <c r="E101" s="190" t="s">
        <v>3171</v>
      </c>
      <c r="F101" s="9" t="s">
        <v>3056</v>
      </c>
      <c r="G101" s="13" t="s">
        <v>3172</v>
      </c>
    </row>
    <row r="102" spans="1:7">
      <c r="A102" s="8" t="s">
        <v>501</v>
      </c>
      <c r="B102" s="6" t="s">
        <v>3147</v>
      </c>
      <c r="C102" s="7" t="s">
        <v>3148</v>
      </c>
      <c r="D102" s="8" t="s">
        <v>3173</v>
      </c>
      <c r="E102" s="191" t="s">
        <v>3174</v>
      </c>
      <c r="F102" s="9"/>
      <c r="G102" s="8" t="s">
        <v>3175</v>
      </c>
    </row>
    <row r="103" spans="1:7">
      <c r="A103" s="8" t="s">
        <v>3176</v>
      </c>
      <c r="B103" s="6" t="s">
        <v>3147</v>
      </c>
      <c r="C103" s="7" t="s">
        <v>3148</v>
      </c>
      <c r="D103" s="8" t="s">
        <v>3177</v>
      </c>
      <c r="E103" s="191" t="s">
        <v>3178</v>
      </c>
      <c r="F103" s="9"/>
      <c r="G103" s="8" t="s">
        <v>3179</v>
      </c>
    </row>
    <row r="104" spans="1:7">
      <c r="A104" s="8" t="s">
        <v>3180</v>
      </c>
      <c r="B104" s="6" t="s">
        <v>3147</v>
      </c>
      <c r="C104" s="7" t="s">
        <v>3148</v>
      </c>
      <c r="D104" s="8" t="s">
        <v>3181</v>
      </c>
      <c r="E104" s="191" t="s">
        <v>3182</v>
      </c>
      <c r="F104" s="9"/>
      <c r="G104" s="8" t="s">
        <v>3183</v>
      </c>
    </row>
    <row r="105" spans="1:7">
      <c r="A105" s="8" t="s">
        <v>3184</v>
      </c>
      <c r="B105" s="6" t="s">
        <v>3147</v>
      </c>
      <c r="C105" s="7" t="s">
        <v>3148</v>
      </c>
      <c r="D105" s="8" t="s">
        <v>3185</v>
      </c>
      <c r="E105" s="191" t="s">
        <v>3186</v>
      </c>
      <c r="F105" s="9"/>
      <c r="G105" s="8" t="s">
        <v>3187</v>
      </c>
    </row>
    <row r="106" spans="1:7">
      <c r="A106" s="8" t="s">
        <v>473</v>
      </c>
      <c r="B106" s="6" t="s">
        <v>3147</v>
      </c>
      <c r="C106" s="7" t="s">
        <v>3148</v>
      </c>
      <c r="D106" s="8" t="s">
        <v>3188</v>
      </c>
      <c r="E106" s="190" t="s">
        <v>3189</v>
      </c>
      <c r="F106" s="9" t="s">
        <v>3190</v>
      </c>
      <c r="G106" s="8" t="s">
        <v>3191</v>
      </c>
    </row>
    <row r="107" spans="1:7">
      <c r="A107" s="8" t="s">
        <v>3192</v>
      </c>
      <c r="B107" s="6" t="s">
        <v>3147</v>
      </c>
      <c r="C107" s="7" t="s">
        <v>3148</v>
      </c>
      <c r="D107" s="8" t="s">
        <v>3193</v>
      </c>
      <c r="E107" s="190" t="s">
        <v>3194</v>
      </c>
      <c r="F107" s="9" t="s">
        <v>3195</v>
      </c>
      <c r="G107" s="8" t="s">
        <v>3196</v>
      </c>
    </row>
    <row r="108" spans="1:7">
      <c r="A108" s="8" t="s">
        <v>3197</v>
      </c>
      <c r="B108" s="6" t="s">
        <v>3147</v>
      </c>
      <c r="C108" s="7" t="s">
        <v>3198</v>
      </c>
      <c r="D108" s="8" t="s">
        <v>3199</v>
      </c>
      <c r="E108" s="190" t="s">
        <v>3200</v>
      </c>
      <c r="F108" s="9" t="s">
        <v>3201</v>
      </c>
      <c r="G108" s="8" t="s">
        <v>3202</v>
      </c>
    </row>
    <row r="109" spans="1:7">
      <c r="A109" s="8" t="s">
        <v>561</v>
      </c>
      <c r="B109" s="6" t="s">
        <v>3147</v>
      </c>
      <c r="C109" s="7" t="s">
        <v>3198</v>
      </c>
      <c r="D109" s="8" t="s">
        <v>3203</v>
      </c>
      <c r="E109" s="190" t="s">
        <v>3204</v>
      </c>
      <c r="F109" s="9" t="s">
        <v>3201</v>
      </c>
      <c r="G109" s="8" t="s">
        <v>3205</v>
      </c>
    </row>
    <row r="110" spans="1:7">
      <c r="A110" s="8" t="s">
        <v>3206</v>
      </c>
      <c r="B110" s="6" t="s">
        <v>3147</v>
      </c>
      <c r="C110" s="7" t="s">
        <v>3198</v>
      </c>
      <c r="D110" s="8" t="s">
        <v>3207</v>
      </c>
      <c r="E110" s="191" t="s">
        <v>3208</v>
      </c>
      <c r="F110" s="9"/>
      <c r="G110" s="8" t="s">
        <v>3209</v>
      </c>
    </row>
    <row r="111" spans="1:7">
      <c r="A111" s="8" t="s">
        <v>517</v>
      </c>
      <c r="B111" s="6" t="s">
        <v>3147</v>
      </c>
      <c r="C111" s="7" t="s">
        <v>3198</v>
      </c>
      <c r="D111" s="8" t="s">
        <v>3210</v>
      </c>
      <c r="E111" s="190" t="s">
        <v>3211</v>
      </c>
      <c r="F111" s="9" t="s">
        <v>3212</v>
      </c>
      <c r="G111" s="8" t="s">
        <v>3213</v>
      </c>
    </row>
    <row r="112" spans="1:7">
      <c r="A112" s="8" t="s">
        <v>531</v>
      </c>
      <c r="B112" s="6" t="s">
        <v>3147</v>
      </c>
      <c r="C112" s="7" t="s">
        <v>3198</v>
      </c>
      <c r="D112" s="11" t="s">
        <v>3214</v>
      </c>
      <c r="E112" s="190" t="s">
        <v>3215</v>
      </c>
      <c r="F112" s="9"/>
      <c r="G112" s="8" t="s">
        <v>3205</v>
      </c>
    </row>
    <row r="113" spans="1:7">
      <c r="A113" s="8" t="s">
        <v>3216</v>
      </c>
      <c r="B113" s="6" t="s">
        <v>3147</v>
      </c>
      <c r="C113" s="7" t="s">
        <v>3198</v>
      </c>
      <c r="D113" s="11" t="s">
        <v>3214</v>
      </c>
      <c r="E113" s="190" t="s">
        <v>3217</v>
      </c>
      <c r="F113" s="9" t="s">
        <v>2886</v>
      </c>
      <c r="G113" s="8" t="s">
        <v>3205</v>
      </c>
    </row>
    <row r="114" spans="1:7">
      <c r="A114" s="8" t="s">
        <v>523</v>
      </c>
      <c r="B114" s="6" t="s">
        <v>3147</v>
      </c>
      <c r="C114" s="7" t="s">
        <v>3198</v>
      </c>
      <c r="D114" s="8" t="s">
        <v>3218</v>
      </c>
      <c r="E114" s="190" t="s">
        <v>3219</v>
      </c>
      <c r="F114" s="9"/>
      <c r="G114" s="13" t="s">
        <v>3220</v>
      </c>
    </row>
    <row r="115" spans="1:7">
      <c r="A115" s="8" t="s">
        <v>3221</v>
      </c>
      <c r="B115" s="6" t="s">
        <v>3147</v>
      </c>
      <c r="C115" s="7" t="s">
        <v>3198</v>
      </c>
      <c r="D115" s="8" t="s">
        <v>3222</v>
      </c>
      <c r="E115" s="191" t="s">
        <v>3223</v>
      </c>
      <c r="F115" s="9"/>
      <c r="G115" s="8" t="s">
        <v>3224</v>
      </c>
    </row>
    <row r="116" spans="1:7">
      <c r="A116" s="8" t="s">
        <v>3225</v>
      </c>
      <c r="B116" s="6" t="s">
        <v>3147</v>
      </c>
      <c r="C116" s="7" t="s">
        <v>3198</v>
      </c>
      <c r="D116" s="8" t="s">
        <v>3226</v>
      </c>
      <c r="E116" s="191" t="s">
        <v>3223</v>
      </c>
      <c r="F116" s="9"/>
      <c r="G116" s="8" t="s">
        <v>3227</v>
      </c>
    </row>
    <row r="117" spans="1:7">
      <c r="A117" s="8" t="s">
        <v>445</v>
      </c>
      <c r="B117" s="6" t="s">
        <v>3147</v>
      </c>
      <c r="C117" s="7" t="s">
        <v>3228</v>
      </c>
      <c r="D117" s="8" t="s">
        <v>3229</v>
      </c>
      <c r="E117" s="190" t="s">
        <v>3230</v>
      </c>
      <c r="F117" s="9"/>
      <c r="G117" s="8" t="s">
        <v>3231</v>
      </c>
    </row>
    <row r="118" spans="1:7">
      <c r="A118" s="8" t="s">
        <v>3232</v>
      </c>
      <c r="B118" s="6" t="s">
        <v>3147</v>
      </c>
      <c r="C118" s="7" t="s">
        <v>3228</v>
      </c>
      <c r="D118" s="8" t="s">
        <v>3233</v>
      </c>
      <c r="E118" s="190" t="s">
        <v>3234</v>
      </c>
      <c r="F118" s="9" t="s">
        <v>3235</v>
      </c>
      <c r="G118" s="8" t="s">
        <v>3236</v>
      </c>
    </row>
    <row r="119" spans="1:7">
      <c r="A119" s="8" t="s">
        <v>573</v>
      </c>
      <c r="B119" s="6" t="s">
        <v>3147</v>
      </c>
      <c r="C119" s="7" t="s">
        <v>3228</v>
      </c>
      <c r="D119" s="11" t="s">
        <v>3237</v>
      </c>
      <c r="E119" s="191" t="s">
        <v>3238</v>
      </c>
      <c r="F119" s="9"/>
      <c r="G119" s="8" t="s">
        <v>3239</v>
      </c>
    </row>
    <row r="120" spans="1:7">
      <c r="A120" s="8" t="s">
        <v>3240</v>
      </c>
      <c r="B120" s="6" t="s">
        <v>3147</v>
      </c>
      <c r="C120" s="7" t="s">
        <v>3228</v>
      </c>
      <c r="D120" s="11" t="s">
        <v>3237</v>
      </c>
      <c r="E120" s="190" t="s">
        <v>3241</v>
      </c>
      <c r="F120" s="9" t="s">
        <v>3242</v>
      </c>
      <c r="G120" s="8" t="s">
        <v>3239</v>
      </c>
    </row>
    <row r="121" spans="1:7">
      <c r="A121" s="8" t="s">
        <v>614</v>
      </c>
      <c r="B121" s="6" t="s">
        <v>3147</v>
      </c>
      <c r="C121" s="7" t="s">
        <v>3228</v>
      </c>
      <c r="D121" s="8" t="s">
        <v>3243</v>
      </c>
      <c r="E121" s="190" t="s">
        <v>3244</v>
      </c>
      <c r="F121" s="9" t="s">
        <v>3245</v>
      </c>
      <c r="G121" s="8" t="s">
        <v>3246</v>
      </c>
    </row>
    <row r="122" spans="1:7">
      <c r="A122" s="8" t="s">
        <v>555</v>
      </c>
      <c r="B122" s="6" t="s">
        <v>3147</v>
      </c>
      <c r="C122" s="7" t="s">
        <v>3228</v>
      </c>
      <c r="D122" s="8" t="s">
        <v>3247</v>
      </c>
      <c r="E122" s="190" t="s">
        <v>3248</v>
      </c>
      <c r="F122" s="9" t="s">
        <v>3249</v>
      </c>
      <c r="G122" s="8" t="s">
        <v>3250</v>
      </c>
    </row>
    <row r="123" spans="1:7">
      <c r="A123" s="8" t="s">
        <v>3251</v>
      </c>
      <c r="B123" s="6" t="s">
        <v>3147</v>
      </c>
      <c r="C123" s="7" t="s">
        <v>3228</v>
      </c>
      <c r="D123" s="8" t="s">
        <v>3252</v>
      </c>
      <c r="E123" s="190" t="s">
        <v>549</v>
      </c>
      <c r="F123" s="9" t="s">
        <v>550</v>
      </c>
      <c r="G123" s="8" t="s">
        <v>3253</v>
      </c>
    </row>
    <row r="124" spans="1:7">
      <c r="A124" s="8" t="s">
        <v>3254</v>
      </c>
      <c r="B124" s="6" t="s">
        <v>3147</v>
      </c>
      <c r="C124" s="7" t="s">
        <v>3228</v>
      </c>
      <c r="D124" s="8" t="s">
        <v>3255</v>
      </c>
      <c r="E124" s="190" t="s">
        <v>553</v>
      </c>
      <c r="F124" s="9" t="s">
        <v>554</v>
      </c>
      <c r="G124" s="8" t="s">
        <v>2901</v>
      </c>
    </row>
    <row r="125" spans="1:7">
      <c r="A125" s="8" t="s">
        <v>411</v>
      </c>
      <c r="B125" s="6" t="s">
        <v>3256</v>
      </c>
      <c r="C125" s="7" t="s">
        <v>3257</v>
      </c>
      <c r="D125" s="8" t="s">
        <v>3258</v>
      </c>
      <c r="E125" s="190" t="s">
        <v>409</v>
      </c>
      <c r="F125" s="9" t="s">
        <v>410</v>
      </c>
      <c r="G125" s="8" t="s">
        <v>3259</v>
      </c>
    </row>
    <row r="126" spans="1:7">
      <c r="A126" s="8" t="s">
        <v>456</v>
      </c>
      <c r="B126" s="6" t="s">
        <v>3256</v>
      </c>
      <c r="C126" s="7" t="s">
        <v>3257</v>
      </c>
      <c r="D126" s="8" t="s">
        <v>3260</v>
      </c>
      <c r="E126" s="190" t="s">
        <v>454</v>
      </c>
      <c r="F126" s="9" t="s">
        <v>3261</v>
      </c>
      <c r="G126" s="8" t="s">
        <v>3262</v>
      </c>
    </row>
    <row r="127" spans="1:7">
      <c r="A127" s="8" t="s">
        <v>417</v>
      </c>
      <c r="B127" s="6" t="s">
        <v>3256</v>
      </c>
      <c r="C127" s="7" t="s">
        <v>3257</v>
      </c>
      <c r="D127" s="8" t="s">
        <v>3263</v>
      </c>
      <c r="E127" s="190" t="s">
        <v>415</v>
      </c>
      <c r="F127" s="9" t="s">
        <v>416</v>
      </c>
      <c r="G127" s="8" t="s">
        <v>3264</v>
      </c>
    </row>
    <row r="128" spans="1:7">
      <c r="A128" s="8" t="s">
        <v>3265</v>
      </c>
      <c r="B128" s="6" t="s">
        <v>3256</v>
      </c>
      <c r="C128" s="7" t="s">
        <v>3257</v>
      </c>
      <c r="D128" s="8" t="s">
        <v>3266</v>
      </c>
      <c r="E128" s="191" t="s">
        <v>3267</v>
      </c>
      <c r="F128" s="9"/>
      <c r="G128" s="8" t="s">
        <v>3268</v>
      </c>
    </row>
    <row r="129" spans="1:7">
      <c r="A129" s="8" t="s">
        <v>422</v>
      </c>
      <c r="B129" s="6" t="s">
        <v>3256</v>
      </c>
      <c r="C129" s="7" t="s">
        <v>3257</v>
      </c>
      <c r="D129" s="8" t="s">
        <v>3269</v>
      </c>
      <c r="E129" s="190" t="s">
        <v>420</v>
      </c>
      <c r="F129" s="9" t="s">
        <v>421</v>
      </c>
      <c r="G129" s="8" t="s">
        <v>3270</v>
      </c>
    </row>
    <row r="130" spans="1:7">
      <c r="A130" s="8" t="s">
        <v>427</v>
      </c>
      <c r="B130" s="6" t="s">
        <v>3256</v>
      </c>
      <c r="C130" s="7" t="s">
        <v>3257</v>
      </c>
      <c r="D130" s="8" t="s">
        <v>3271</v>
      </c>
      <c r="E130" s="190" t="s">
        <v>425</v>
      </c>
      <c r="F130" s="9" t="s">
        <v>426</v>
      </c>
      <c r="G130" s="8" t="s">
        <v>3272</v>
      </c>
    </row>
    <row r="131" spans="1:7">
      <c r="A131" s="8" t="s">
        <v>432</v>
      </c>
      <c r="B131" s="6" t="s">
        <v>3256</v>
      </c>
      <c r="C131" s="7" t="s">
        <v>3257</v>
      </c>
      <c r="D131" s="8" t="s">
        <v>3273</v>
      </c>
      <c r="E131" s="190" t="s">
        <v>430</v>
      </c>
      <c r="F131" s="9" t="s">
        <v>431</v>
      </c>
      <c r="G131" s="8" t="s">
        <v>3268</v>
      </c>
    </row>
    <row r="132" spans="1:7">
      <c r="A132" s="8" t="s">
        <v>702</v>
      </c>
      <c r="B132" s="6" t="s">
        <v>3274</v>
      </c>
      <c r="C132" s="12" t="s">
        <v>3275</v>
      </c>
      <c r="D132" s="8" t="s">
        <v>3276</v>
      </c>
      <c r="E132" s="190" t="s">
        <v>3277</v>
      </c>
      <c r="F132" s="9" t="s">
        <v>3278</v>
      </c>
      <c r="G132" s="8" t="s">
        <v>3279</v>
      </c>
    </row>
    <row r="133" spans="1:7">
      <c r="A133" s="8" t="s">
        <v>706</v>
      </c>
      <c r="B133" s="6" t="s">
        <v>3274</v>
      </c>
      <c r="C133" s="12" t="s">
        <v>3275</v>
      </c>
      <c r="D133" s="8" t="s">
        <v>704</v>
      </c>
      <c r="E133" s="190" t="s">
        <v>705</v>
      </c>
      <c r="F133" s="9"/>
      <c r="G133" s="8" t="s">
        <v>3280</v>
      </c>
    </row>
    <row r="134" spans="1:7">
      <c r="A134" s="8" t="s">
        <v>711</v>
      </c>
      <c r="B134" s="6" t="s">
        <v>3274</v>
      </c>
      <c r="C134" s="7" t="s">
        <v>3281</v>
      </c>
      <c r="D134" s="8" t="s">
        <v>708</v>
      </c>
      <c r="E134" s="190" t="s">
        <v>709</v>
      </c>
      <c r="F134" s="9" t="s">
        <v>714</v>
      </c>
      <c r="G134" s="8" t="s">
        <v>3282</v>
      </c>
    </row>
    <row r="135" spans="1:7">
      <c r="A135" s="8" t="s">
        <v>715</v>
      </c>
      <c r="B135" s="6" t="s">
        <v>3274</v>
      </c>
      <c r="C135" s="7" t="s">
        <v>3281</v>
      </c>
      <c r="D135" s="8" t="s">
        <v>713</v>
      </c>
      <c r="E135" s="191" t="s">
        <v>3283</v>
      </c>
      <c r="F135" s="9"/>
      <c r="G135" s="8" t="s">
        <v>3268</v>
      </c>
    </row>
    <row r="136" spans="1:7">
      <c r="A136" s="8" t="s">
        <v>158</v>
      </c>
      <c r="B136" s="6" t="s">
        <v>3274</v>
      </c>
      <c r="C136" s="7" t="s">
        <v>3284</v>
      </c>
      <c r="D136" s="8" t="s">
        <v>155</v>
      </c>
      <c r="E136" s="190" t="s">
        <v>156</v>
      </c>
      <c r="F136" s="9"/>
      <c r="G136" s="8" t="s">
        <v>3285</v>
      </c>
    </row>
    <row r="137" spans="1:7">
      <c r="A137" s="8" t="s">
        <v>3286</v>
      </c>
      <c r="B137" s="6" t="s">
        <v>3274</v>
      </c>
      <c r="C137" s="7" t="s">
        <v>3284</v>
      </c>
      <c r="D137" s="8" t="s">
        <v>3287</v>
      </c>
      <c r="E137" s="191" t="s">
        <v>3288</v>
      </c>
      <c r="F137" s="9"/>
      <c r="G137" s="8" t="s">
        <v>3289</v>
      </c>
    </row>
    <row r="138" spans="1:7">
      <c r="A138" s="8" t="s">
        <v>3290</v>
      </c>
      <c r="B138" s="6" t="s">
        <v>3291</v>
      </c>
      <c r="C138" s="7" t="s">
        <v>3292</v>
      </c>
      <c r="D138" s="8" t="s">
        <v>3293</v>
      </c>
      <c r="E138" s="190" t="s">
        <v>3294</v>
      </c>
      <c r="F138" s="9" t="s">
        <v>3295</v>
      </c>
      <c r="G138" s="8" t="s">
        <v>3296</v>
      </c>
    </row>
    <row r="139" spans="1:7">
      <c r="A139" s="8" t="s">
        <v>729</v>
      </c>
      <c r="B139" s="6" t="s">
        <v>3291</v>
      </c>
      <c r="C139" s="7" t="s">
        <v>3292</v>
      </c>
      <c r="D139" s="8" t="s">
        <v>3297</v>
      </c>
      <c r="E139" s="190" t="s">
        <v>3298</v>
      </c>
      <c r="F139" s="9" t="s">
        <v>3299</v>
      </c>
      <c r="G139" s="8" t="s">
        <v>2901</v>
      </c>
    </row>
    <row r="140" spans="1:7">
      <c r="A140" s="8" t="s">
        <v>720</v>
      </c>
      <c r="B140" s="6" t="s">
        <v>3291</v>
      </c>
      <c r="C140" s="7" t="s">
        <v>3292</v>
      </c>
      <c r="D140" s="8" t="s">
        <v>3300</v>
      </c>
      <c r="E140" s="191" t="s">
        <v>3301</v>
      </c>
      <c r="F140" s="9"/>
      <c r="G140" s="8" t="s">
        <v>3302</v>
      </c>
    </row>
    <row r="141" spans="1:7">
      <c r="A141" s="8" t="s">
        <v>3303</v>
      </c>
      <c r="B141" s="6" t="s">
        <v>3291</v>
      </c>
      <c r="C141" s="14" t="s">
        <v>3304</v>
      </c>
      <c r="D141" s="8" t="s">
        <v>731</v>
      </c>
      <c r="E141" s="190" t="s">
        <v>732</v>
      </c>
      <c r="F141" s="9" t="s">
        <v>3097</v>
      </c>
      <c r="G141" s="8" t="s">
        <v>3305</v>
      </c>
    </row>
    <row r="142" spans="1:7">
      <c r="A142" s="8" t="s">
        <v>2695</v>
      </c>
      <c r="B142" s="6" t="s">
        <v>3306</v>
      </c>
      <c r="C142" s="7" t="s">
        <v>3307</v>
      </c>
      <c r="D142" s="8" t="s">
        <v>3308</v>
      </c>
      <c r="E142" s="190" t="s">
        <v>3309</v>
      </c>
      <c r="F142" s="9" t="s">
        <v>421</v>
      </c>
      <c r="G142" s="8" t="s">
        <v>3310</v>
      </c>
    </row>
    <row r="143" spans="1:7">
      <c r="A143" s="8" t="s">
        <v>2700</v>
      </c>
      <c r="B143" s="6" t="s">
        <v>3306</v>
      </c>
      <c r="C143" s="7" t="s">
        <v>3307</v>
      </c>
      <c r="D143" s="8" t="s">
        <v>3311</v>
      </c>
      <c r="E143" s="190" t="s">
        <v>3312</v>
      </c>
      <c r="F143" s="9" t="s">
        <v>421</v>
      </c>
      <c r="G143" s="8" t="s">
        <v>3302</v>
      </c>
    </row>
    <row r="144" spans="1:7">
      <c r="A144" s="8" t="s">
        <v>2705</v>
      </c>
      <c r="B144" s="6" t="s">
        <v>3306</v>
      </c>
      <c r="C144" s="7" t="s">
        <v>3307</v>
      </c>
      <c r="D144" s="8" t="s">
        <v>3313</v>
      </c>
      <c r="E144" s="190" t="s">
        <v>2703</v>
      </c>
      <c r="F144" s="9" t="s">
        <v>2704</v>
      </c>
      <c r="G144" s="8" t="s">
        <v>3314</v>
      </c>
    </row>
    <row r="145" spans="1:7">
      <c r="A145" s="8" t="s">
        <v>2721</v>
      </c>
      <c r="B145" s="6" t="s">
        <v>3306</v>
      </c>
      <c r="C145" s="7" t="s">
        <v>3307</v>
      </c>
      <c r="D145" s="11" t="s">
        <v>3315</v>
      </c>
      <c r="E145" s="190" t="s">
        <v>3316</v>
      </c>
      <c r="F145" s="9" t="s">
        <v>3317</v>
      </c>
      <c r="G145" s="8" t="s">
        <v>3318</v>
      </c>
    </row>
    <row r="146" spans="1:7">
      <c r="A146" s="8" t="s">
        <v>3319</v>
      </c>
      <c r="B146" s="6" t="s">
        <v>3306</v>
      </c>
      <c r="C146" s="7" t="s">
        <v>3307</v>
      </c>
      <c r="D146" s="11" t="s">
        <v>3315</v>
      </c>
      <c r="E146" s="190" t="s">
        <v>3320</v>
      </c>
      <c r="F146" s="9" t="s">
        <v>3321</v>
      </c>
      <c r="G146" s="8" t="s">
        <v>3318</v>
      </c>
    </row>
    <row r="147" spans="1:7">
      <c r="A147" s="8" t="s">
        <v>2714</v>
      </c>
      <c r="B147" s="6" t="s">
        <v>3306</v>
      </c>
      <c r="C147" s="14" t="s">
        <v>3322</v>
      </c>
      <c r="D147" s="8" t="s">
        <v>3323</v>
      </c>
      <c r="E147" s="190" t="s">
        <v>3324</v>
      </c>
      <c r="F147" s="10" t="s">
        <v>3325</v>
      </c>
      <c r="G147" s="8" t="s">
        <v>3326</v>
      </c>
    </row>
    <row r="148" spans="1:7">
      <c r="A148" s="8" t="s">
        <v>2731</v>
      </c>
      <c r="B148" s="6" t="s">
        <v>3306</v>
      </c>
      <c r="C148" s="14" t="s">
        <v>3327</v>
      </c>
      <c r="D148" s="8" t="s">
        <v>3328</v>
      </c>
      <c r="E148" s="190" t="s">
        <v>2730</v>
      </c>
      <c r="F148" s="9" t="s">
        <v>3329</v>
      </c>
      <c r="G148" s="8" t="s">
        <v>3330</v>
      </c>
    </row>
    <row r="149" spans="1:7">
      <c r="A149" s="8" t="s">
        <v>3331</v>
      </c>
      <c r="B149" s="7" t="s">
        <v>3332</v>
      </c>
      <c r="C149" s="7" t="s">
        <v>3333</v>
      </c>
      <c r="D149" s="8" t="s">
        <v>3334</v>
      </c>
      <c r="E149" s="190" t="s">
        <v>3335</v>
      </c>
      <c r="F149" s="9" t="s">
        <v>3336</v>
      </c>
      <c r="G149" s="8" t="s">
        <v>3305</v>
      </c>
    </row>
    <row r="150" spans="1:7">
      <c r="A150" s="8" t="s">
        <v>3337</v>
      </c>
      <c r="B150" s="7" t="s">
        <v>3332</v>
      </c>
      <c r="C150" s="7" t="s">
        <v>3333</v>
      </c>
      <c r="D150" s="8" t="s">
        <v>3338</v>
      </c>
      <c r="E150" s="190" t="s">
        <v>3339</v>
      </c>
      <c r="F150" s="9" t="s">
        <v>421</v>
      </c>
      <c r="G150" s="8" t="s">
        <v>3340</v>
      </c>
    </row>
    <row r="151" spans="1:7">
      <c r="A151" s="8" t="s">
        <v>3341</v>
      </c>
      <c r="B151" s="7" t="s">
        <v>3332</v>
      </c>
      <c r="C151" s="7" t="s">
        <v>3333</v>
      </c>
      <c r="D151" s="8" t="s">
        <v>3342</v>
      </c>
      <c r="E151" s="190" t="s">
        <v>3343</v>
      </c>
      <c r="F151" s="9" t="s">
        <v>421</v>
      </c>
      <c r="G151" s="11" t="s">
        <v>3305</v>
      </c>
    </row>
    <row r="152" spans="1:7">
      <c r="C152" s="16"/>
      <c r="G152" s="20"/>
    </row>
  </sheetData>
  <autoFilter ref="A1:G151" xr:uid="{54282F5C-CD8D-4D8B-BA26-FEC4EAAE4128}"/>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D777B-8388-4125-BA0B-9C57E1409C27}">
  <dimension ref="A1:AR196"/>
  <sheetViews>
    <sheetView tabSelected="1" topLeftCell="B1" zoomScale="54" zoomScaleNormal="60" workbookViewId="0">
      <pane ySplit="1" topLeftCell="A23" activePane="bottomLeft" state="frozen"/>
      <selection pane="bottomLeft" activeCell="G31" sqref="G31"/>
    </sheetView>
  </sheetViews>
  <sheetFormatPr defaultRowHeight="15" customHeight="1"/>
  <cols>
    <col min="1" max="1" width="29.1796875" style="213" customWidth="1"/>
    <col min="2" max="2" width="17.453125" bestFit="1" customWidth="1"/>
    <col min="3" max="3" width="26.7265625" customWidth="1"/>
    <col min="4" max="4" width="17.453125" style="228" customWidth="1"/>
    <col min="5" max="5" width="20.81640625" customWidth="1"/>
    <col min="6" max="6" width="41.7265625" customWidth="1"/>
    <col min="7" max="7" width="78.1796875" style="179" customWidth="1"/>
    <col min="8" max="8" width="18.453125" style="178" customWidth="1"/>
    <col min="9" max="9" width="67.7265625" style="179" customWidth="1"/>
    <col min="10" max="11" width="56.1796875" style="179" customWidth="1"/>
    <col min="12" max="12" width="48.1796875" style="331" customWidth="1"/>
  </cols>
  <sheetData>
    <row r="1" spans="1:14" s="30" customFormat="1" ht="31">
      <c r="A1" s="258" t="s">
        <v>3344</v>
      </c>
      <c r="B1" s="258" t="s">
        <v>3345</v>
      </c>
      <c r="C1" s="258" t="s">
        <v>5</v>
      </c>
      <c r="D1" s="258" t="s">
        <v>3</v>
      </c>
      <c r="E1" s="258" t="s">
        <v>3346</v>
      </c>
      <c r="F1" s="258" t="s">
        <v>3347</v>
      </c>
      <c r="G1" s="258" t="s">
        <v>3348</v>
      </c>
      <c r="H1" s="258" t="s">
        <v>3349</v>
      </c>
      <c r="I1" s="260" t="s">
        <v>3350</v>
      </c>
      <c r="J1" s="280" t="s">
        <v>3351</v>
      </c>
      <c r="K1" s="280"/>
      <c r="L1" s="332" t="s">
        <v>3352</v>
      </c>
    </row>
    <row r="2" spans="1:14" s="30" customFormat="1" ht="26">
      <c r="A2" s="206" t="s">
        <v>3353</v>
      </c>
      <c r="B2" s="163" t="s">
        <v>3354</v>
      </c>
      <c r="C2" s="163"/>
      <c r="D2" s="223" t="s">
        <v>3843</v>
      </c>
      <c r="E2" s="164" t="s">
        <v>3355</v>
      </c>
      <c r="F2" s="164" t="e">
        <f>K2</f>
        <v>#N/A</v>
      </c>
      <c r="G2" s="166" t="s">
        <v>3356</v>
      </c>
      <c r="H2" s="165" t="s">
        <v>3357</v>
      </c>
      <c r="I2" s="261" t="s">
        <v>3358</v>
      </c>
      <c r="J2" s="163"/>
      <c r="K2" s="335" t="e">
        <f>VLOOKUP(G2,[1]survey!$A:$D,3,FALSE)</f>
        <v>#N/A</v>
      </c>
      <c r="L2" s="332"/>
    </row>
    <row r="3" spans="1:14" s="30" customFormat="1" ht="180.75" customHeight="1">
      <c r="A3" s="206" t="s">
        <v>3353</v>
      </c>
      <c r="B3" s="163" t="s">
        <v>3354</v>
      </c>
      <c r="C3" s="163"/>
      <c r="D3" s="223" t="s">
        <v>3843</v>
      </c>
      <c r="E3" s="164" t="s">
        <v>3355</v>
      </c>
      <c r="F3" s="164" t="e">
        <f>K3</f>
        <v>#VALUE!</v>
      </c>
      <c r="G3" s="166" t="s">
        <v>3359</v>
      </c>
      <c r="H3" s="165" t="s">
        <v>3357</v>
      </c>
      <c r="I3" s="261" t="s">
        <v>3360</v>
      </c>
      <c r="J3" s="163"/>
      <c r="K3" s="335" t="e">
        <f>VLOOKUP(G3,[1]survey!$A:$D,3,FALSE)</f>
        <v>#VALUE!</v>
      </c>
      <c r="L3" s="332"/>
    </row>
    <row r="4" spans="1:14" s="30" customFormat="1" ht="33.75" customHeight="1">
      <c r="A4" s="206" t="s">
        <v>3353</v>
      </c>
      <c r="B4" s="163" t="s">
        <v>3354</v>
      </c>
      <c r="C4" s="163"/>
      <c r="D4" s="223" t="s">
        <v>3843</v>
      </c>
      <c r="E4" s="164" t="s">
        <v>3355</v>
      </c>
      <c r="F4" s="164" t="e">
        <f>K4</f>
        <v>#N/A</v>
      </c>
      <c r="G4" s="166" t="s">
        <v>3361</v>
      </c>
      <c r="H4" s="165"/>
      <c r="I4" s="261" t="s">
        <v>3362</v>
      </c>
      <c r="J4" s="166" t="s">
        <v>3363</v>
      </c>
      <c r="K4" s="335" t="e">
        <f>VLOOKUP(G4,[1]survey!$A:$D,3,FALSE)</f>
        <v>#N/A</v>
      </c>
      <c r="L4" s="332"/>
    </row>
    <row r="5" spans="1:14" s="30" customFormat="1" ht="41.25" customHeight="1">
      <c r="A5" s="206" t="s">
        <v>3353</v>
      </c>
      <c r="B5" s="163" t="s">
        <v>3354</v>
      </c>
      <c r="C5" s="163"/>
      <c r="D5" s="223" t="s">
        <v>3843</v>
      </c>
      <c r="E5" s="164" t="s">
        <v>3355</v>
      </c>
      <c r="F5" s="164" t="e">
        <f t="shared" ref="F5:F23" si="0">K5</f>
        <v>#N/A</v>
      </c>
      <c r="G5" s="166" t="s">
        <v>3364</v>
      </c>
      <c r="H5" s="165" t="s">
        <v>3365</v>
      </c>
      <c r="I5" s="261" t="s">
        <v>3366</v>
      </c>
      <c r="J5" s="166"/>
      <c r="K5" s="335" t="e">
        <f>VLOOKUP(G5,[1]survey!$A:$D,3,FALSE)</f>
        <v>#N/A</v>
      </c>
      <c r="L5" s="332"/>
    </row>
    <row r="6" spans="1:14" s="30" customFormat="1" ht="26">
      <c r="A6" s="206" t="s">
        <v>3353</v>
      </c>
      <c r="B6" s="163" t="s">
        <v>3354</v>
      </c>
      <c r="C6" s="163" t="s">
        <v>3367</v>
      </c>
      <c r="D6" s="223" t="s">
        <v>3843</v>
      </c>
      <c r="E6" s="164" t="s">
        <v>3355</v>
      </c>
      <c r="F6" s="164" t="str">
        <f t="shared" si="0"/>
        <v>hoh</v>
      </c>
      <c r="G6" s="166" t="s">
        <v>3368</v>
      </c>
      <c r="H6" s="165" t="s">
        <v>3357</v>
      </c>
      <c r="I6" s="261" t="s">
        <v>3360</v>
      </c>
      <c r="J6" s="166" t="s">
        <v>3369</v>
      </c>
      <c r="K6" s="335" t="str">
        <f>VLOOKUP(G6,[1]survey!$A:$D,3,FALSE)</f>
        <v>hoh</v>
      </c>
      <c r="L6" s="332"/>
    </row>
    <row r="7" spans="1:14" s="30" customFormat="1" ht="39">
      <c r="A7" s="206" t="s">
        <v>3353</v>
      </c>
      <c r="B7" s="163" t="s">
        <v>3354</v>
      </c>
      <c r="C7" s="163" t="s">
        <v>3370</v>
      </c>
      <c r="D7" s="223" t="s">
        <v>3843</v>
      </c>
      <c r="E7" s="164" t="s">
        <v>3355</v>
      </c>
      <c r="F7" s="164" t="str">
        <f t="shared" si="0"/>
        <v>hh_age</v>
      </c>
      <c r="G7" s="166" t="s">
        <v>2311</v>
      </c>
      <c r="H7" s="165" t="s">
        <v>724</v>
      </c>
      <c r="I7" s="261" t="s">
        <v>724</v>
      </c>
      <c r="J7" s="196" t="s">
        <v>3371</v>
      </c>
      <c r="K7" s="335" t="str">
        <f>VLOOKUP(G7,[1]survey!$A:$D,3,FALSE)</f>
        <v>hh_age</v>
      </c>
      <c r="L7" s="332"/>
    </row>
    <row r="8" spans="1:14" s="30" customFormat="1" ht="39">
      <c r="A8" s="206" t="s">
        <v>3353</v>
      </c>
      <c r="B8" s="163" t="s">
        <v>3354</v>
      </c>
      <c r="C8" s="163" t="s">
        <v>3372</v>
      </c>
      <c r="D8" s="223" t="s">
        <v>3843</v>
      </c>
      <c r="E8" s="164" t="s">
        <v>3355</v>
      </c>
      <c r="F8" s="164" t="str">
        <f t="shared" si="0"/>
        <v>hoh_no</v>
      </c>
      <c r="G8" s="166" t="s">
        <v>2315</v>
      </c>
      <c r="H8" s="165" t="s">
        <v>724</v>
      </c>
      <c r="I8" s="261" t="s">
        <v>724</v>
      </c>
      <c r="J8" s="196"/>
      <c r="K8" s="335" t="str">
        <f>VLOOKUP(G8,[1]survey!$A:$D,3,FALSE)</f>
        <v>hoh_no</v>
      </c>
      <c r="L8" s="332"/>
    </row>
    <row r="9" spans="1:14" s="30" customFormat="1" ht="39">
      <c r="A9" s="206" t="s">
        <v>3353</v>
      </c>
      <c r="B9" s="163" t="s">
        <v>3354</v>
      </c>
      <c r="C9" s="163" t="s">
        <v>3373</v>
      </c>
      <c r="D9" s="223" t="s">
        <v>3843</v>
      </c>
      <c r="E9" s="164" t="s">
        <v>3355</v>
      </c>
      <c r="F9" s="164" t="str">
        <f t="shared" si="0"/>
        <v>hoh_gender</v>
      </c>
      <c r="G9" s="166" t="s">
        <v>2320</v>
      </c>
      <c r="H9" s="165" t="s">
        <v>3357</v>
      </c>
      <c r="I9" s="262" t="s">
        <v>2865</v>
      </c>
      <c r="J9" s="196" t="s">
        <v>3374</v>
      </c>
      <c r="K9" s="335" t="str">
        <f>VLOOKUP(G9,[1]survey!$A:$D,3,FALSE)</f>
        <v>hoh_gender</v>
      </c>
      <c r="L9" s="332"/>
    </row>
    <row r="10" spans="1:14" s="30" customFormat="1" ht="66" customHeight="1">
      <c r="A10" s="206" t="s">
        <v>3353</v>
      </c>
      <c r="B10" s="163" t="s">
        <v>3354</v>
      </c>
      <c r="C10" s="163" t="s">
        <v>3375</v>
      </c>
      <c r="D10" s="223" t="s">
        <v>3843</v>
      </c>
      <c r="E10" s="164" t="s">
        <v>3355</v>
      </c>
      <c r="F10" s="164" t="str">
        <f t="shared" si="0"/>
        <v>hoh_no_marital_status</v>
      </c>
      <c r="G10" s="166" t="s">
        <v>3376</v>
      </c>
      <c r="H10" s="198" t="s">
        <v>3377</v>
      </c>
      <c r="I10" s="265" t="s">
        <v>3378</v>
      </c>
      <c r="J10" s="196" t="s">
        <v>3374</v>
      </c>
      <c r="K10" s="335" t="str">
        <f>VLOOKUP(G10,[1]survey!$A:$D,3,FALSE)</f>
        <v>hoh_no_marital_status</v>
      </c>
      <c r="L10" s="332"/>
    </row>
    <row r="11" spans="1:14" s="30" customFormat="1" ht="39">
      <c r="A11" s="206" t="s">
        <v>3353</v>
      </c>
      <c r="B11" s="163" t="s">
        <v>3354</v>
      </c>
      <c r="C11" s="163" t="s">
        <v>3379</v>
      </c>
      <c r="D11" s="223" t="s">
        <v>3843</v>
      </c>
      <c r="E11" s="164" t="s">
        <v>3355</v>
      </c>
      <c r="F11" s="164" t="str">
        <f t="shared" si="0"/>
        <v>hoh_no_gender</v>
      </c>
      <c r="G11" s="166" t="s">
        <v>3380</v>
      </c>
      <c r="H11" s="165" t="s">
        <v>3357</v>
      </c>
      <c r="I11" s="262" t="s">
        <v>2865</v>
      </c>
      <c r="J11" s="196" t="s">
        <v>3381</v>
      </c>
      <c r="K11" s="335" t="str">
        <f>VLOOKUP(G11,[1]survey!$A:$D,3,FALSE)</f>
        <v>hoh_no_gender</v>
      </c>
      <c r="L11" s="332"/>
    </row>
    <row r="12" spans="1:14" s="30" customFormat="1" ht="65">
      <c r="A12" s="206" t="s">
        <v>3353</v>
      </c>
      <c r="B12" s="163" t="s">
        <v>3354</v>
      </c>
      <c r="C12" s="163" t="s">
        <v>3382</v>
      </c>
      <c r="D12" s="223" t="s">
        <v>3843</v>
      </c>
      <c r="E12" s="164" t="s">
        <v>3355</v>
      </c>
      <c r="F12" s="164" t="str">
        <f t="shared" si="0"/>
        <v>hoh_marital_status</v>
      </c>
      <c r="G12" s="166" t="s">
        <v>2346</v>
      </c>
      <c r="H12" s="165" t="s">
        <v>3383</v>
      </c>
      <c r="I12" s="265" t="s">
        <v>3384</v>
      </c>
      <c r="J12" s="196" t="s">
        <v>3381</v>
      </c>
      <c r="K12" s="335" t="str">
        <f>VLOOKUP(G12,[1]survey!$A:$D,3,FALSE)</f>
        <v>hoh_marital_status</v>
      </c>
      <c r="L12" s="332"/>
    </row>
    <row r="13" spans="1:14" s="30" customFormat="1" ht="52">
      <c r="A13" s="206" t="s">
        <v>3353</v>
      </c>
      <c r="B13" s="182" t="s">
        <v>3354</v>
      </c>
      <c r="C13" s="182" t="s">
        <v>3385</v>
      </c>
      <c r="D13" s="223" t="s">
        <v>3843</v>
      </c>
      <c r="E13" s="325" t="s">
        <v>3355</v>
      </c>
      <c r="F13" s="164" t="str">
        <f t="shared" si="0"/>
        <v>hh_education</v>
      </c>
      <c r="G13" s="326" t="s">
        <v>3386</v>
      </c>
      <c r="H13" s="327" t="s">
        <v>3377</v>
      </c>
      <c r="I13" s="264" t="s">
        <v>3387</v>
      </c>
      <c r="J13" s="196"/>
      <c r="K13" s="335" t="str">
        <f>VLOOKUP(G13,[1]survey!$A:$D,3,FALSE)</f>
        <v>hh_education</v>
      </c>
      <c r="L13" s="333" t="s">
        <v>3388</v>
      </c>
      <c r="M13" s="222"/>
      <c r="N13" s="222"/>
    </row>
    <row r="14" spans="1:14" s="30" customFormat="1" ht="156">
      <c r="A14" s="206" t="s">
        <v>3353</v>
      </c>
      <c r="B14" s="185" t="s">
        <v>3354</v>
      </c>
      <c r="C14" s="185" t="s">
        <v>3389</v>
      </c>
      <c r="D14" s="223" t="s">
        <v>3843</v>
      </c>
      <c r="E14" s="186" t="s">
        <v>3355</v>
      </c>
      <c r="F14" s="164" t="str">
        <f t="shared" si="0"/>
        <v>hh_occupation</v>
      </c>
      <c r="G14" s="166" t="s">
        <v>3390</v>
      </c>
      <c r="H14" s="184" t="s">
        <v>3357</v>
      </c>
      <c r="I14" s="264" t="s">
        <v>3391</v>
      </c>
      <c r="J14" s="166"/>
      <c r="K14" s="335" t="str">
        <f>VLOOKUP(G14,[1]survey!$A:$D,3,FALSE)</f>
        <v>hh_occupation</v>
      </c>
      <c r="L14" s="332" t="s">
        <v>3392</v>
      </c>
    </row>
    <row r="15" spans="1:14" s="346" customFormat="1" ht="26">
      <c r="A15" s="336" t="s">
        <v>3353</v>
      </c>
      <c r="B15" s="338" t="s">
        <v>3354</v>
      </c>
      <c r="C15" s="338"/>
      <c r="D15" s="223" t="s">
        <v>3843</v>
      </c>
      <c r="E15" s="340" t="s">
        <v>3355</v>
      </c>
      <c r="F15" s="340" t="e">
        <f t="shared" si="0"/>
        <v>#N/A</v>
      </c>
      <c r="G15" s="341" t="s">
        <v>2336</v>
      </c>
      <c r="H15" s="347" t="s">
        <v>3393</v>
      </c>
      <c r="I15" s="348" t="s">
        <v>3394</v>
      </c>
      <c r="J15" s="341"/>
      <c r="K15" s="344" t="e">
        <f>VLOOKUP(G15,[1]survey!$A:$D,3,FALSE)</f>
        <v>#N/A</v>
      </c>
      <c r="L15" s="345"/>
    </row>
    <row r="16" spans="1:14" s="30" customFormat="1" ht="53.25" customHeight="1">
      <c r="A16" s="206" t="s">
        <v>3353</v>
      </c>
      <c r="B16" s="185" t="s">
        <v>3354</v>
      </c>
      <c r="C16" s="185" t="s">
        <v>3395</v>
      </c>
      <c r="D16" s="223" t="s">
        <v>3843</v>
      </c>
      <c r="E16" s="186" t="s">
        <v>3355</v>
      </c>
      <c r="F16" s="164" t="str">
        <f t="shared" si="0"/>
        <v>hh_size</v>
      </c>
      <c r="G16" s="196" t="s">
        <v>3396</v>
      </c>
      <c r="H16" s="184" t="s">
        <v>724</v>
      </c>
      <c r="I16" s="263" t="s">
        <v>724</v>
      </c>
      <c r="J16" s="166"/>
      <c r="K16" s="335" t="str">
        <f>VLOOKUP(G16,[1]survey!$A:$D,3,FALSE)</f>
        <v>hh_size</v>
      </c>
      <c r="L16" s="332"/>
    </row>
    <row r="17" spans="1:12" s="30" customFormat="1" ht="91">
      <c r="A17" s="206" t="s">
        <v>3353</v>
      </c>
      <c r="B17" s="185" t="s">
        <v>3354</v>
      </c>
      <c r="C17" s="185" t="s">
        <v>3397</v>
      </c>
      <c r="D17" s="223" t="s">
        <v>3843</v>
      </c>
      <c r="E17" s="186" t="s">
        <v>3355</v>
      </c>
      <c r="F17" s="164" t="str">
        <f t="shared" si="0"/>
        <v>hh_situation</v>
      </c>
      <c r="G17" s="166" t="s">
        <v>3398</v>
      </c>
      <c r="H17" s="184" t="s">
        <v>3357</v>
      </c>
      <c r="I17" s="241" t="s">
        <v>3399</v>
      </c>
      <c r="J17" s="166"/>
      <c r="K17" s="335" t="str">
        <f>VLOOKUP(G17,[1]survey!$A:$D,3,FALSE)</f>
        <v>hh_situation</v>
      </c>
      <c r="L17" s="332"/>
    </row>
    <row r="18" spans="1:12" s="346" customFormat="1" ht="32">
      <c r="A18" s="336" t="s">
        <v>3353</v>
      </c>
      <c r="B18" s="337" t="s">
        <v>3354</v>
      </c>
      <c r="C18" s="337"/>
      <c r="D18" s="223" t="s">
        <v>3843</v>
      </c>
      <c r="E18" s="339" t="s">
        <v>3355</v>
      </c>
      <c r="F18" s="340" t="e">
        <f t="shared" si="0"/>
        <v>#N/A</v>
      </c>
      <c r="G18" s="341" t="s">
        <v>3400</v>
      </c>
      <c r="H18" s="342" t="s">
        <v>3357</v>
      </c>
      <c r="I18" s="343" t="s">
        <v>3401</v>
      </c>
      <c r="J18" s="341" t="s">
        <v>3402</v>
      </c>
      <c r="K18" s="344" t="e">
        <f>VLOOKUP(G18,[1]survey!$A:$D,3,FALSE)</f>
        <v>#N/A</v>
      </c>
      <c r="L18" s="345" t="s">
        <v>3403</v>
      </c>
    </row>
    <row r="19" spans="1:12" s="30" customFormat="1" ht="258" customHeight="1">
      <c r="A19" s="206" t="s">
        <v>3353</v>
      </c>
      <c r="B19" s="185" t="s">
        <v>3354</v>
      </c>
      <c r="C19" s="185" t="s">
        <v>3404</v>
      </c>
      <c r="D19" s="223" t="s">
        <v>3843</v>
      </c>
      <c r="E19" s="186" t="s">
        <v>3355</v>
      </c>
      <c r="F19" s="164" t="str">
        <f t="shared" si="0"/>
        <v>displacement_reason</v>
      </c>
      <c r="G19" s="196" t="s">
        <v>3405</v>
      </c>
      <c r="H19" s="166" t="s">
        <v>3406</v>
      </c>
      <c r="I19" s="262" t="s">
        <v>2920</v>
      </c>
      <c r="J19" s="166" t="s">
        <v>3402</v>
      </c>
      <c r="K19" s="335" t="str">
        <f>VLOOKUP(G19,[1]survey!$A:$D,3,FALSE)</f>
        <v>displacement_reason</v>
      </c>
      <c r="L19" s="332" t="s">
        <v>3392</v>
      </c>
    </row>
    <row r="20" spans="1:12" s="30" customFormat="1" ht="120" customHeight="1">
      <c r="A20" s="206" t="s">
        <v>3353</v>
      </c>
      <c r="B20" s="185" t="s">
        <v>3354</v>
      </c>
      <c r="C20" s="185" t="s">
        <v>3407</v>
      </c>
      <c r="D20" s="223" t="s">
        <v>3843</v>
      </c>
      <c r="E20" s="186" t="s">
        <v>3355</v>
      </c>
      <c r="F20" s="164" t="str">
        <f t="shared" si="0"/>
        <v>current_location_reason</v>
      </c>
      <c r="G20" s="226" t="s">
        <v>2537</v>
      </c>
      <c r="H20" s="183" t="s">
        <v>3377</v>
      </c>
      <c r="I20" s="262" t="s">
        <v>3408</v>
      </c>
      <c r="J20" s="166"/>
      <c r="K20" s="335" t="str">
        <f>VLOOKUP(G20,[1]survey!$A:$D,3,FALSE)</f>
        <v>current_location_reason</v>
      </c>
      <c r="L20" s="332" t="s">
        <v>3392</v>
      </c>
    </row>
    <row r="21" spans="1:12" s="30" customFormat="1" ht="52">
      <c r="A21" s="206" t="s">
        <v>3353</v>
      </c>
      <c r="B21" s="185" t="s">
        <v>3354</v>
      </c>
      <c r="C21" s="185" t="s">
        <v>3409</v>
      </c>
      <c r="D21" s="223" t="s">
        <v>3843</v>
      </c>
      <c r="E21" s="186" t="s">
        <v>3355</v>
      </c>
      <c r="F21" s="164" t="str">
        <f t="shared" si="0"/>
        <v>hh_movement_plan</v>
      </c>
      <c r="G21" s="310" t="s">
        <v>3410</v>
      </c>
      <c r="H21" s="184" t="s">
        <v>3377</v>
      </c>
      <c r="I21" s="241" t="s">
        <v>3411</v>
      </c>
      <c r="J21" s="196"/>
      <c r="K21" s="335" t="str">
        <f>VLOOKUP(G21,[1]survey!$A:$D,3,FALSE)</f>
        <v>hh_movement_plan</v>
      </c>
      <c r="L21" s="332"/>
    </row>
    <row r="22" spans="1:12" s="30" customFormat="1" ht="78">
      <c r="A22" s="206" t="s">
        <v>3353</v>
      </c>
      <c r="B22" s="185" t="s">
        <v>3354</v>
      </c>
      <c r="C22" s="185" t="s">
        <v>3412</v>
      </c>
      <c r="D22" s="223" t="s">
        <v>3843</v>
      </c>
      <c r="E22" s="186" t="s">
        <v>3355</v>
      </c>
      <c r="F22" s="164" t="str">
        <f t="shared" si="0"/>
        <v>hh_movement_plan_yes</v>
      </c>
      <c r="G22" s="310" t="s">
        <v>3413</v>
      </c>
      <c r="H22" s="184" t="s">
        <v>3377</v>
      </c>
      <c r="I22" s="241" t="s">
        <v>3414</v>
      </c>
      <c r="J22" s="196" t="s">
        <v>3415</v>
      </c>
      <c r="K22" s="335" t="str">
        <f>VLOOKUP(G22,[1]survey!$A:$D,3,FALSE)</f>
        <v>hh_movement_plan_yes</v>
      </c>
      <c r="L22" s="332"/>
    </row>
    <row r="23" spans="1:12" s="30" customFormat="1" ht="247">
      <c r="A23" s="206" t="s">
        <v>3353</v>
      </c>
      <c r="B23" s="185" t="s">
        <v>3354</v>
      </c>
      <c r="C23" s="185" t="s">
        <v>3416</v>
      </c>
      <c r="D23" s="223" t="s">
        <v>3843</v>
      </c>
      <c r="E23" s="186" t="s">
        <v>3355</v>
      </c>
      <c r="F23" s="164" t="str">
        <f t="shared" si="0"/>
        <v>hh_reason_for_planned_move</v>
      </c>
      <c r="G23" s="310" t="s">
        <v>3417</v>
      </c>
      <c r="H23" s="184" t="s">
        <v>3377</v>
      </c>
      <c r="I23" s="241" t="s">
        <v>2421</v>
      </c>
      <c r="J23" s="196" t="s">
        <v>3415</v>
      </c>
      <c r="K23" s="335" t="str">
        <f>VLOOKUP(G23,[1]survey!$A:$D,3,FALSE)</f>
        <v>hh_reason_for_planned_move</v>
      </c>
      <c r="L23" s="332"/>
    </row>
    <row r="24" spans="1:12" s="30" customFormat="1" ht="16">
      <c r="A24" s="396" t="s">
        <v>3418</v>
      </c>
      <c r="B24" s="397"/>
      <c r="C24" s="397"/>
      <c r="D24" s="397"/>
      <c r="E24" s="397"/>
      <c r="F24" s="397"/>
      <c r="G24" s="397"/>
      <c r="H24" s="397"/>
      <c r="I24" s="397"/>
      <c r="J24" s="398"/>
      <c r="K24" s="335" t="str">
        <f>VLOOKUP(G24,[1]survey!$A:$D,3,FALSE)</f>
        <v>start</v>
      </c>
      <c r="L24" s="332"/>
    </row>
    <row r="25" spans="1:12" s="30" customFormat="1" ht="16">
      <c r="A25" s="283" t="s">
        <v>3353</v>
      </c>
      <c r="B25" s="163"/>
      <c r="C25" s="163" t="s">
        <v>3841</v>
      </c>
      <c r="D25" s="223" t="s">
        <v>3843</v>
      </c>
      <c r="E25" s="164"/>
      <c r="F25" s="164" t="str">
        <f>K25</f>
        <v>ind_age</v>
      </c>
      <c r="G25" s="166" t="s">
        <v>3419</v>
      </c>
      <c r="H25" s="165" t="s">
        <v>724</v>
      </c>
      <c r="I25" s="197"/>
      <c r="J25" s="166"/>
      <c r="K25" s="335" t="str">
        <f>VLOOKUP(G25,[1]survey!$A:$D,3,FALSE)</f>
        <v>ind_age</v>
      </c>
      <c r="L25" s="332"/>
    </row>
    <row r="26" spans="1:12" s="30" customFormat="1" ht="26">
      <c r="A26" s="283" t="s">
        <v>3353</v>
      </c>
      <c r="B26" s="163"/>
      <c r="C26" s="163" t="s">
        <v>3842</v>
      </c>
      <c r="D26" s="223" t="s">
        <v>3843</v>
      </c>
      <c r="E26" s="164"/>
      <c r="F26" s="164" t="str">
        <f t="shared" ref="F26:F131" si="1">K26</f>
        <v>ind_gender</v>
      </c>
      <c r="G26" s="166" t="s">
        <v>3420</v>
      </c>
      <c r="H26" s="165" t="s">
        <v>3357</v>
      </c>
      <c r="I26" s="165" t="s">
        <v>3421</v>
      </c>
      <c r="J26" s="166"/>
      <c r="K26" s="335" t="str">
        <f>VLOOKUP(G26,[1]survey!$A:$D,3,FALSE)</f>
        <v>ind_gender</v>
      </c>
      <c r="L26" s="332"/>
    </row>
    <row r="27" spans="1:12" s="30" customFormat="1" ht="91">
      <c r="A27" s="283" t="s">
        <v>3353</v>
      </c>
      <c r="B27" s="163"/>
      <c r="C27" s="163" t="s">
        <v>3422</v>
      </c>
      <c r="D27" s="223" t="s">
        <v>3843</v>
      </c>
      <c r="E27" s="164"/>
      <c r="F27" s="164" t="str">
        <f t="shared" si="1"/>
        <v>ind_educational_status</v>
      </c>
      <c r="G27" s="166" t="s">
        <v>3423</v>
      </c>
      <c r="H27" s="165" t="s">
        <v>3357</v>
      </c>
      <c r="I27" s="165" t="s">
        <v>3424</v>
      </c>
      <c r="J27" s="166" t="s">
        <v>3425</v>
      </c>
      <c r="K27" s="335" t="str">
        <f>VLOOKUP(G27,[1]survey!$A:$D,3,FALSE)</f>
        <v>ind_educational_status</v>
      </c>
      <c r="L27" s="332"/>
    </row>
    <row r="28" spans="1:12" s="30" customFormat="1" ht="32">
      <c r="A28" s="281" t="s">
        <v>3353</v>
      </c>
      <c r="B28" s="163" t="s">
        <v>3354</v>
      </c>
      <c r="C28" s="163" t="s">
        <v>3426</v>
      </c>
      <c r="D28" s="223" t="s">
        <v>3843</v>
      </c>
      <c r="E28" s="164" t="s">
        <v>3355</v>
      </c>
      <c r="F28" s="164" t="str">
        <f>K28</f>
        <v>pregnant_lac_women</v>
      </c>
      <c r="G28" s="166" t="s">
        <v>3427</v>
      </c>
      <c r="H28" s="165" t="s">
        <v>3357</v>
      </c>
      <c r="I28" s="172" t="s">
        <v>3428</v>
      </c>
      <c r="J28" s="166"/>
      <c r="K28" s="335" t="str">
        <f>VLOOKUP(G28,[1]survey!$A:$D,3,FALSE)</f>
        <v>pregnant_lac_women</v>
      </c>
      <c r="L28" s="332" t="s">
        <v>3429</v>
      </c>
    </row>
    <row r="29" spans="1:12" s="30" customFormat="1" ht="16">
      <c r="A29" s="399" t="s">
        <v>3430</v>
      </c>
      <c r="B29" s="400"/>
      <c r="C29" s="400"/>
      <c r="D29" s="400"/>
      <c r="E29" s="400"/>
      <c r="F29" s="400"/>
      <c r="G29" s="400"/>
      <c r="H29" s="400"/>
      <c r="I29" s="400"/>
      <c r="J29" s="401"/>
      <c r="K29" s="335" t="str">
        <f>VLOOKUP(G29,[1]survey!$A:$D,3,FALSE)</f>
        <v>start</v>
      </c>
      <c r="L29" s="332"/>
    </row>
    <row r="30" spans="1:12" s="30" customFormat="1" ht="78">
      <c r="A30" s="281" t="s">
        <v>3353</v>
      </c>
      <c r="B30" s="163" t="s">
        <v>3354</v>
      </c>
      <c r="C30" s="163" t="s">
        <v>3431</v>
      </c>
      <c r="D30" s="223" t="s">
        <v>3843</v>
      </c>
      <c r="E30" s="164" t="s">
        <v>3355</v>
      </c>
      <c r="F30" s="164" t="str">
        <f t="shared" si="1"/>
        <v>difficulty_seeing</v>
      </c>
      <c r="G30" s="196" t="s">
        <v>3432</v>
      </c>
      <c r="H30" s="165" t="s">
        <v>3377</v>
      </c>
      <c r="I30" s="163" t="s">
        <v>3433</v>
      </c>
      <c r="J30" s="166"/>
      <c r="K30" s="335" t="str">
        <f>VLOOKUP(G30,[1]survey!$A:$D,3,FALSE)</f>
        <v>difficulty_seeing</v>
      </c>
      <c r="L30" s="332"/>
    </row>
    <row r="31" spans="1:12" s="30" customFormat="1" ht="78">
      <c r="A31" s="281" t="s">
        <v>3353</v>
      </c>
      <c r="B31" s="163" t="s">
        <v>3354</v>
      </c>
      <c r="C31" s="163" t="s">
        <v>3434</v>
      </c>
      <c r="D31" s="223" t="s">
        <v>3843</v>
      </c>
      <c r="E31" s="164" t="s">
        <v>3355</v>
      </c>
      <c r="F31" s="164" t="str">
        <f t="shared" si="1"/>
        <v>difficulty_hearing</v>
      </c>
      <c r="G31" s="166" t="s">
        <v>3435</v>
      </c>
      <c r="H31" s="165" t="s">
        <v>3377</v>
      </c>
      <c r="I31" s="163" t="s">
        <v>3433</v>
      </c>
      <c r="J31" s="166"/>
      <c r="K31" s="335" t="str">
        <f>VLOOKUP(G31,[1]survey!$A:$D,3,FALSE)</f>
        <v>difficulty_hearing</v>
      </c>
      <c r="L31" s="332"/>
    </row>
    <row r="32" spans="1:12" s="30" customFormat="1" ht="78">
      <c r="A32" s="281" t="s">
        <v>3353</v>
      </c>
      <c r="B32" s="163" t="s">
        <v>3354</v>
      </c>
      <c r="C32" s="163" t="s">
        <v>3436</v>
      </c>
      <c r="D32" s="223" t="s">
        <v>3843</v>
      </c>
      <c r="E32" s="164" t="s">
        <v>3355</v>
      </c>
      <c r="F32" s="164" t="str">
        <f t="shared" si="1"/>
        <v>difficulty_walking</v>
      </c>
      <c r="G32" s="166" t="s">
        <v>3437</v>
      </c>
      <c r="H32" s="165" t="s">
        <v>3377</v>
      </c>
      <c r="I32" s="163" t="s">
        <v>3433</v>
      </c>
      <c r="J32" s="166"/>
      <c r="K32" s="335" t="str">
        <f>VLOOKUP(G32,[1]survey!$A:$D,3,FALSE)</f>
        <v>difficulty_walking</v>
      </c>
      <c r="L32" s="332"/>
    </row>
    <row r="33" spans="1:12" s="222" customFormat="1" ht="78">
      <c r="A33" s="283" t="s">
        <v>3353</v>
      </c>
      <c r="B33" s="223"/>
      <c r="C33" s="223" t="s">
        <v>3438</v>
      </c>
      <c r="D33" s="223" t="s">
        <v>3843</v>
      </c>
      <c r="E33" s="224"/>
      <c r="F33" s="164" t="str">
        <f t="shared" si="1"/>
        <v>difficulty_remembering</v>
      </c>
      <c r="G33" s="166" t="s">
        <v>3439</v>
      </c>
      <c r="H33" s="165" t="s">
        <v>3377</v>
      </c>
      <c r="I33" s="163" t="s">
        <v>3433</v>
      </c>
      <c r="J33" s="196"/>
      <c r="K33" s="335" t="str">
        <f>VLOOKUP(G33,[1]survey!$A:$D,3,FALSE)</f>
        <v>difficulty_remembering</v>
      </c>
      <c r="L33" s="333"/>
    </row>
    <row r="34" spans="1:12" s="222" customFormat="1" ht="78">
      <c r="A34" s="283" t="s">
        <v>3353</v>
      </c>
      <c r="B34" s="223"/>
      <c r="C34" s="223" t="s">
        <v>3440</v>
      </c>
      <c r="D34" s="223" t="s">
        <v>3843</v>
      </c>
      <c r="E34" s="224"/>
      <c r="F34" s="164" t="str">
        <f t="shared" si="1"/>
        <v>difficulty_self_care</v>
      </c>
      <c r="G34" s="166" t="s">
        <v>3441</v>
      </c>
      <c r="H34" s="165" t="s">
        <v>3377</v>
      </c>
      <c r="I34" s="163" t="s">
        <v>3433</v>
      </c>
      <c r="J34" s="196"/>
      <c r="K34" s="335" t="str">
        <f>VLOOKUP(G34,[1]survey!$A:$D,3,FALSE)</f>
        <v>difficulty_self_care</v>
      </c>
      <c r="L34" s="333"/>
    </row>
    <row r="35" spans="1:12" s="222" customFormat="1" ht="78">
      <c r="A35" s="283" t="s">
        <v>3353</v>
      </c>
      <c r="B35" s="223"/>
      <c r="C35" s="223" t="s">
        <v>3442</v>
      </c>
      <c r="D35" s="223" t="s">
        <v>3843</v>
      </c>
      <c r="E35" s="224"/>
      <c r="F35" s="164" t="str">
        <f t="shared" si="1"/>
        <v>difficulty_communicating</v>
      </c>
      <c r="G35" s="166" t="s">
        <v>3443</v>
      </c>
      <c r="H35" s="165" t="s">
        <v>3377</v>
      </c>
      <c r="I35" s="163" t="s">
        <v>3433</v>
      </c>
      <c r="J35" s="196"/>
      <c r="K35" s="335" t="str">
        <f>VLOOKUP(G35,[1]survey!$A:$D,3,FALSE)</f>
        <v>difficulty_communicating</v>
      </c>
      <c r="L35" s="333"/>
    </row>
    <row r="36" spans="1:12" ht="14.5">
      <c r="A36" s="411" t="s">
        <v>3444</v>
      </c>
      <c r="B36" s="412"/>
      <c r="C36" s="412"/>
      <c r="D36" s="412"/>
      <c r="E36" s="412"/>
      <c r="F36" s="412"/>
      <c r="G36" s="412"/>
      <c r="H36" s="412"/>
      <c r="I36" s="412"/>
      <c r="J36" s="412"/>
      <c r="K36" s="335" t="str">
        <f>VLOOKUP(G36,[1]survey!$A:$D,3,FALSE)</f>
        <v>start</v>
      </c>
    </row>
    <row r="37" spans="1:12" ht="221">
      <c r="A37" s="207" t="s">
        <v>3445</v>
      </c>
      <c r="B37" s="163" t="s">
        <v>3354</v>
      </c>
      <c r="C37" s="163" t="s">
        <v>3446</v>
      </c>
      <c r="D37" s="223" t="s">
        <v>1035</v>
      </c>
      <c r="E37" s="164" t="s">
        <v>3355</v>
      </c>
      <c r="F37" s="164" t="str">
        <f t="shared" si="1"/>
        <v>drinking_water_source</v>
      </c>
      <c r="G37" s="172" t="s">
        <v>2174</v>
      </c>
      <c r="H37" s="168" t="s">
        <v>3357</v>
      </c>
      <c r="I37" s="241" t="s">
        <v>3447</v>
      </c>
      <c r="J37" s="172"/>
      <c r="K37" s="335" t="str">
        <f>VLOOKUP(G37,[1]survey!$A:$D,3,FALSE)</f>
        <v>drinking_water_source</v>
      </c>
    </row>
    <row r="38" spans="1:12" ht="208">
      <c r="A38" s="207" t="s">
        <v>3445</v>
      </c>
      <c r="B38" s="163" t="s">
        <v>3354</v>
      </c>
      <c r="C38" s="163" t="s">
        <v>3448</v>
      </c>
      <c r="D38" s="223" t="s">
        <v>1035</v>
      </c>
      <c r="E38" s="164" t="s">
        <v>3355</v>
      </c>
      <c r="F38" s="164" t="str">
        <f t="shared" si="1"/>
        <v>cleaning_water_source</v>
      </c>
      <c r="G38" s="172" t="s">
        <v>3449</v>
      </c>
      <c r="H38" s="168" t="s">
        <v>3357</v>
      </c>
      <c r="I38" s="241" t="s">
        <v>3450</v>
      </c>
      <c r="J38" s="172"/>
      <c r="K38" s="335" t="str">
        <f>VLOOKUP(G38,[1]survey!$A:$D,3,FALSE)</f>
        <v>cleaning_water_source</v>
      </c>
    </row>
    <row r="39" spans="1:12" ht="91">
      <c r="A39" s="207" t="s">
        <v>3451</v>
      </c>
      <c r="B39" s="163" t="s">
        <v>3354</v>
      </c>
      <c r="C39" s="163" t="s">
        <v>3452</v>
      </c>
      <c r="D39" s="223" t="s">
        <v>1035</v>
      </c>
      <c r="E39" s="164" t="s">
        <v>3355</v>
      </c>
      <c r="F39" s="164" t="str">
        <f t="shared" si="1"/>
        <v>water_source_location</v>
      </c>
      <c r="G39" s="197" t="s">
        <v>3453</v>
      </c>
      <c r="H39" s="168" t="s">
        <v>3357</v>
      </c>
      <c r="I39" s="265" t="s">
        <v>3454</v>
      </c>
      <c r="J39" s="175"/>
      <c r="K39" s="335" t="str">
        <f>VLOOKUP(G39,[1]survey!$A:$D,3,FALSE)</f>
        <v>water_source_location</v>
      </c>
      <c r="L39" s="331" t="s">
        <v>3455</v>
      </c>
    </row>
    <row r="40" spans="1:12" s="228" customFormat="1" ht="91">
      <c r="A40" s="227" t="s">
        <v>3456</v>
      </c>
      <c r="B40" s="223" t="s">
        <v>3354</v>
      </c>
      <c r="C40" s="223" t="s">
        <v>3457</v>
      </c>
      <c r="D40" s="223" t="s">
        <v>1035</v>
      </c>
      <c r="E40" s="224" t="s">
        <v>3355</v>
      </c>
      <c r="F40" s="164" t="str">
        <f t="shared" si="1"/>
        <v>water_fetch_time</v>
      </c>
      <c r="G40" s="197" t="s">
        <v>3458</v>
      </c>
      <c r="H40" s="202" t="s">
        <v>3459</v>
      </c>
      <c r="I40" s="265" t="s">
        <v>3460</v>
      </c>
      <c r="J40" s="205" t="s">
        <v>3461</v>
      </c>
      <c r="K40" s="335" t="str">
        <f>VLOOKUP(G40,[1]survey!$A:$D,3,FALSE)</f>
        <v>water_fetch_time</v>
      </c>
      <c r="L40" s="328"/>
    </row>
    <row r="41" spans="1:12" s="228" customFormat="1" ht="91">
      <c r="A41" s="207" t="s">
        <v>3456</v>
      </c>
      <c r="B41" s="163"/>
      <c r="C41" s="163" t="s">
        <v>3462</v>
      </c>
      <c r="D41" s="223" t="s">
        <v>1035</v>
      </c>
      <c r="E41" s="224"/>
      <c r="F41" s="164" t="str">
        <f t="shared" si="1"/>
        <v>water_fetch_time2</v>
      </c>
      <c r="G41" s="197" t="s">
        <v>3463</v>
      </c>
      <c r="H41" s="202" t="s">
        <v>3459</v>
      </c>
      <c r="I41" s="265" t="s">
        <v>3460</v>
      </c>
      <c r="J41" s="209" t="s">
        <v>3461</v>
      </c>
      <c r="K41" s="335" t="str">
        <f>VLOOKUP(G41,[1]survey!$A:$D,3,FALSE)</f>
        <v>water_fetch_time2</v>
      </c>
      <c r="L41" s="334" t="s">
        <v>3464</v>
      </c>
    </row>
    <row r="42" spans="1:12" ht="140.25" customHeight="1">
      <c r="A42" s="225" t="s">
        <v>3465</v>
      </c>
      <c r="B42" s="163" t="s">
        <v>3354</v>
      </c>
      <c r="C42" s="163" t="s">
        <v>3466</v>
      </c>
      <c r="D42" s="223" t="s">
        <v>1035</v>
      </c>
      <c r="E42" s="224" t="s">
        <v>3355</v>
      </c>
      <c r="F42" s="164" t="str">
        <f t="shared" si="1"/>
        <v>water_point_owner</v>
      </c>
      <c r="G42" s="197" t="s">
        <v>3467</v>
      </c>
      <c r="H42" s="204" t="s">
        <v>3468</v>
      </c>
      <c r="I42" s="265" t="s">
        <v>3469</v>
      </c>
      <c r="J42" s="197" t="s">
        <v>3470</v>
      </c>
      <c r="K42" s="335" t="str">
        <f>VLOOKUP(G42,[1]survey!$A:$D,3,FALSE)</f>
        <v>water_point_owner</v>
      </c>
      <c r="L42" s="334"/>
    </row>
    <row r="43" spans="1:12" ht="81.75" customHeight="1">
      <c r="A43" s="372" t="s">
        <v>3471</v>
      </c>
      <c r="B43" s="163" t="s">
        <v>3354</v>
      </c>
      <c r="C43" s="163" t="s">
        <v>3472</v>
      </c>
      <c r="D43" s="223" t="s">
        <v>1035</v>
      </c>
      <c r="E43" s="164" t="s">
        <v>3355</v>
      </c>
      <c r="F43" s="164" t="str">
        <f t="shared" si="1"/>
        <v>water_source_functional</v>
      </c>
      <c r="G43" s="172" t="s">
        <v>3473</v>
      </c>
      <c r="H43" s="173" t="s">
        <v>3468</v>
      </c>
      <c r="I43" s="241" t="s">
        <v>3474</v>
      </c>
      <c r="J43" s="172" t="s">
        <v>3475</v>
      </c>
      <c r="K43" s="335" t="str">
        <f>VLOOKUP(G43,[1]survey!$A:$D,3,FALSE)</f>
        <v>water_source_functional</v>
      </c>
    </row>
    <row r="44" spans="1:12" ht="104">
      <c r="A44" s="373"/>
      <c r="B44" s="163" t="s">
        <v>3354</v>
      </c>
      <c r="C44" s="163" t="s">
        <v>3476</v>
      </c>
      <c r="D44" s="223" t="s">
        <v>1035</v>
      </c>
      <c r="E44" s="164" t="s">
        <v>3355</v>
      </c>
      <c r="F44" s="164" t="str">
        <f t="shared" si="1"/>
        <v>ws_unfunctionality_reason</v>
      </c>
      <c r="G44" s="172" t="s">
        <v>3477</v>
      </c>
      <c r="H44" s="173" t="s">
        <v>3468</v>
      </c>
      <c r="I44" s="265" t="s">
        <v>3478</v>
      </c>
      <c r="J44" s="172"/>
      <c r="K44" s="335" t="str">
        <f>VLOOKUP(G44,[1]survey!$A:$D,3,FALSE)</f>
        <v>ws_unfunctionality_reason</v>
      </c>
    </row>
    <row r="45" spans="1:12" ht="65">
      <c r="A45" s="374"/>
      <c r="B45" s="163"/>
      <c r="C45" s="163" t="s">
        <v>3479</v>
      </c>
      <c r="D45" s="223" t="s">
        <v>1035</v>
      </c>
      <c r="E45" s="164" t="s">
        <v>3355</v>
      </c>
      <c r="F45" s="164" t="str">
        <f t="shared" si="1"/>
        <v>ws_unfunctionality_time</v>
      </c>
      <c r="G45" s="197" t="s">
        <v>3480</v>
      </c>
      <c r="H45" s="173" t="s">
        <v>3468</v>
      </c>
      <c r="I45" s="241" t="s">
        <v>3481</v>
      </c>
      <c r="J45" s="172"/>
      <c r="K45" s="335" t="str">
        <f>VLOOKUP(G45,[1]survey!$A:$D,3,FALSE)</f>
        <v>ws_unfunctionality_time</v>
      </c>
    </row>
    <row r="46" spans="1:12" ht="117">
      <c r="A46" s="207" t="s">
        <v>3482</v>
      </c>
      <c r="B46" s="163" t="s">
        <v>3354</v>
      </c>
      <c r="C46" s="163" t="s">
        <v>3483</v>
      </c>
      <c r="D46" s="223" t="s">
        <v>1035</v>
      </c>
      <c r="E46" s="164" t="s">
        <v>3355</v>
      </c>
      <c r="F46" s="164" t="str">
        <f t="shared" si="1"/>
        <v>ws_when_waterpoint_broken</v>
      </c>
      <c r="G46" s="172" t="s">
        <v>3484</v>
      </c>
      <c r="H46" s="173" t="s">
        <v>3485</v>
      </c>
      <c r="I46" s="265" t="s">
        <v>3486</v>
      </c>
      <c r="J46" s="197"/>
      <c r="K46" s="335" t="str">
        <f>VLOOKUP(G46,[1]survey!$A:$D,3,FALSE)</f>
        <v>ws_when_waterpoint_broken</v>
      </c>
      <c r="L46" s="331" t="s">
        <v>3487</v>
      </c>
    </row>
    <row r="47" spans="1:12" ht="105.65" customHeight="1">
      <c r="A47" s="372" t="s">
        <v>3488</v>
      </c>
      <c r="B47" s="312" t="s">
        <v>3354</v>
      </c>
      <c r="C47" s="312" t="s">
        <v>3489</v>
      </c>
      <c r="D47" s="223" t="s">
        <v>1035</v>
      </c>
      <c r="E47" s="314" t="s">
        <v>3355</v>
      </c>
      <c r="F47" s="164" t="e">
        <f t="shared" si="1"/>
        <v>#N/A</v>
      </c>
      <c r="G47" s="313" t="s">
        <v>3490</v>
      </c>
      <c r="H47" s="315" t="s">
        <v>3491</v>
      </c>
      <c r="I47" s="316" t="s">
        <v>3492</v>
      </c>
      <c r="J47" s="313" t="s">
        <v>3493</v>
      </c>
      <c r="K47" s="335" t="e">
        <f>VLOOKUP(G47,[1]survey!$A:$D,3,FALSE)</f>
        <v>#N/A</v>
      </c>
      <c r="L47" s="317"/>
    </row>
    <row r="48" spans="1:12" ht="160.5" customHeight="1">
      <c r="A48" s="374"/>
      <c r="B48" s="163" t="s">
        <v>3354</v>
      </c>
      <c r="C48" s="163" t="s">
        <v>3494</v>
      </c>
      <c r="D48" s="223" t="s">
        <v>1035</v>
      </c>
      <c r="E48" s="164" t="s">
        <v>3355</v>
      </c>
      <c r="F48" s="164" t="str">
        <f t="shared" si="1"/>
        <v>water_access_challenge</v>
      </c>
      <c r="G48" s="175" t="s">
        <v>3495</v>
      </c>
      <c r="H48" s="204" t="s">
        <v>3491</v>
      </c>
      <c r="I48" s="269" t="s">
        <v>3496</v>
      </c>
      <c r="J48" s="215"/>
      <c r="K48" s="335" t="str">
        <f>VLOOKUP(G48,[1]survey!$A:$D,3,FALSE)</f>
        <v>water_access_challenge</v>
      </c>
    </row>
    <row r="49" spans="1:16" ht="169">
      <c r="A49" s="207" t="s">
        <v>3482</v>
      </c>
      <c r="B49" s="163" t="s">
        <v>3354</v>
      </c>
      <c r="C49" s="163" t="s">
        <v>3497</v>
      </c>
      <c r="D49" s="223" t="s">
        <v>1035</v>
      </c>
      <c r="E49" s="164" t="s">
        <v>3355</v>
      </c>
      <c r="F49" s="164" t="str">
        <f t="shared" si="1"/>
        <v>lack_of_water_adapt</v>
      </c>
      <c r="G49" s="172" t="s">
        <v>882</v>
      </c>
      <c r="H49" s="168" t="s">
        <v>3377</v>
      </c>
      <c r="I49" s="265" t="s">
        <v>1097</v>
      </c>
      <c r="J49" s="172" t="s">
        <v>3498</v>
      </c>
      <c r="K49" s="335" t="str">
        <f>VLOOKUP(G49,[1]survey!$A:$D,3,FALSE)</f>
        <v>lack_of_water_adapt</v>
      </c>
      <c r="L49" s="331" t="s">
        <v>3499</v>
      </c>
    </row>
    <row r="50" spans="1:16" ht="40.5" customHeight="1">
      <c r="A50" s="372" t="s">
        <v>3488</v>
      </c>
      <c r="B50" s="163" t="s">
        <v>3354</v>
      </c>
      <c r="C50" s="163" t="s">
        <v>3500</v>
      </c>
      <c r="D50" s="223" t="s">
        <v>1035</v>
      </c>
      <c r="E50" s="224" t="s">
        <v>3355</v>
      </c>
      <c r="F50" s="164" t="str">
        <f t="shared" si="1"/>
        <v>access_water_different_in_seasons</v>
      </c>
      <c r="G50" s="197" t="s">
        <v>3501</v>
      </c>
      <c r="H50" s="202" t="s">
        <v>3377</v>
      </c>
      <c r="I50" s="265" t="s">
        <v>3502</v>
      </c>
      <c r="J50" s="197"/>
      <c r="K50" s="335" t="str">
        <f>VLOOKUP(G50,[1]survey!$A:$D,3,FALSE)</f>
        <v>access_water_different_in_seasons</v>
      </c>
      <c r="L50" s="334"/>
      <c r="M50" s="228"/>
    </row>
    <row r="51" spans="1:16" ht="61" customHeight="1">
      <c r="A51" s="374"/>
      <c r="B51" s="163" t="s">
        <v>3354</v>
      </c>
      <c r="C51" s="163" t="s">
        <v>3503</v>
      </c>
      <c r="D51" s="223" t="s">
        <v>1035</v>
      </c>
      <c r="E51" s="164" t="s">
        <v>3355</v>
      </c>
      <c r="F51" s="164" t="str">
        <f t="shared" si="1"/>
        <v>challengning_months_to_access_water</v>
      </c>
      <c r="G51" s="172" t="s">
        <v>3504</v>
      </c>
      <c r="H51" s="168" t="s">
        <v>3485</v>
      </c>
      <c r="I51" s="241" t="s">
        <v>3505</v>
      </c>
      <c r="J51" s="172" t="s">
        <v>3506</v>
      </c>
      <c r="K51" s="335" t="str">
        <f>VLOOKUP(G51,[1]survey!$A:$D,3,FALSE)</f>
        <v>challengning_months_to_access_water</v>
      </c>
    </row>
    <row r="52" spans="1:16" ht="40.5" customHeight="1">
      <c r="A52" s="372" t="s">
        <v>3507</v>
      </c>
      <c r="B52" s="163" t="s">
        <v>3354</v>
      </c>
      <c r="C52" s="163" t="s">
        <v>3508</v>
      </c>
      <c r="D52" s="223" t="s">
        <v>1035</v>
      </c>
      <c r="E52" s="164" t="s">
        <v>3355</v>
      </c>
      <c r="F52" s="164" t="str">
        <f t="shared" si="1"/>
        <v>quota_to_access_water</v>
      </c>
      <c r="G52" s="172" t="s">
        <v>3509</v>
      </c>
      <c r="H52" s="168" t="s">
        <v>3377</v>
      </c>
      <c r="I52" s="241" t="s">
        <v>3502</v>
      </c>
      <c r="J52" s="172" t="s">
        <v>3510</v>
      </c>
      <c r="K52" s="335" t="str">
        <f>VLOOKUP(G52,[1]survey!$A:$D,3,FALSE)</f>
        <v>quota_to_access_water</v>
      </c>
    </row>
    <row r="53" spans="1:16" ht="31.5" customHeight="1">
      <c r="A53" s="373"/>
      <c r="B53" s="163" t="s">
        <v>3354</v>
      </c>
      <c r="C53" s="163" t="s">
        <v>3511</v>
      </c>
      <c r="D53" s="223" t="s">
        <v>1035</v>
      </c>
      <c r="E53" s="164" t="s">
        <v>3355</v>
      </c>
      <c r="F53" s="164" t="str">
        <f t="shared" si="1"/>
        <v>num_jerrycan_allowed</v>
      </c>
      <c r="G53" s="172" t="s">
        <v>3512</v>
      </c>
      <c r="H53" s="168" t="s">
        <v>724</v>
      </c>
      <c r="I53" s="241" t="s">
        <v>3513</v>
      </c>
      <c r="J53" s="172" t="s">
        <v>3510</v>
      </c>
      <c r="K53" s="335" t="str">
        <f>VLOOKUP(G53,[1]survey!$A:$D,3,FALSE)</f>
        <v>num_jerrycan_allowed</v>
      </c>
    </row>
    <row r="54" spans="1:16" ht="132.75" customHeight="1">
      <c r="A54" s="373"/>
      <c r="B54" s="163" t="s">
        <v>3354</v>
      </c>
      <c r="C54" s="163" t="s">
        <v>3514</v>
      </c>
      <c r="D54" s="223" t="s">
        <v>1035</v>
      </c>
      <c r="E54" s="164" t="s">
        <v>3355</v>
      </c>
      <c r="F54" s="164" t="str">
        <f t="shared" si="1"/>
        <v>difficult_to_collect_water</v>
      </c>
      <c r="G54" s="311" t="s">
        <v>3515</v>
      </c>
      <c r="H54" s="204" t="s">
        <v>3491</v>
      </c>
      <c r="I54" s="265" t="s">
        <v>3516</v>
      </c>
      <c r="J54" s="197" t="s">
        <v>3517</v>
      </c>
      <c r="K54" s="335" t="str">
        <f>VLOOKUP(G54,[1]survey!$A:$D,3,FALSE)</f>
        <v>difficult_to_collect_water</v>
      </c>
      <c r="L54" s="334"/>
      <c r="M54" s="228"/>
      <c r="N54" s="228"/>
      <c r="O54" s="228"/>
      <c r="P54" s="228"/>
    </row>
    <row r="55" spans="1:16" ht="154.5" customHeight="1">
      <c r="A55" s="374"/>
      <c r="B55" s="163" t="s">
        <v>3354</v>
      </c>
      <c r="C55" s="163" t="s">
        <v>3518</v>
      </c>
      <c r="D55" s="223" t="s">
        <v>1035</v>
      </c>
      <c r="E55" s="164" t="s">
        <v>3355</v>
      </c>
      <c r="F55" s="164" t="str">
        <f t="shared" si="1"/>
        <v>boys_finds_difficulties_to_collect_water</v>
      </c>
      <c r="G55" s="311" t="s">
        <v>3519</v>
      </c>
      <c r="H55" s="204" t="s">
        <v>3406</v>
      </c>
      <c r="I55" s="265" t="s">
        <v>3520</v>
      </c>
      <c r="J55" s="172" t="s">
        <v>3521</v>
      </c>
      <c r="K55" s="335" t="str">
        <f>VLOOKUP(G55,[1]survey!$A:$D,3,FALSE)</f>
        <v>boys_finds_difficulties_to_collect_water</v>
      </c>
      <c r="L55" s="331" t="s">
        <v>3522</v>
      </c>
    </row>
    <row r="56" spans="1:16" ht="55.5" customHeight="1">
      <c r="A56" s="413" t="s">
        <v>3523</v>
      </c>
      <c r="B56" s="163" t="s">
        <v>3354</v>
      </c>
      <c r="C56" s="163" t="s">
        <v>3524</v>
      </c>
      <c r="D56" s="223" t="s">
        <v>1035</v>
      </c>
      <c r="E56" s="164" t="s">
        <v>3355</v>
      </c>
      <c r="F56" s="164" t="str">
        <f t="shared" si="1"/>
        <v>hh_water_payment</v>
      </c>
      <c r="G56" s="170" t="s">
        <v>3525</v>
      </c>
      <c r="H56" s="173" t="s">
        <v>3377</v>
      </c>
      <c r="I56" s="241" t="s">
        <v>3526</v>
      </c>
      <c r="J56" s="197"/>
      <c r="K56" s="335" t="str">
        <f>VLOOKUP(G56,[1]survey!$A:$D,3,FALSE)</f>
        <v>hh_water_payment</v>
      </c>
    </row>
    <row r="57" spans="1:16" ht="55.5" customHeight="1">
      <c r="A57" s="414"/>
      <c r="B57" s="163" t="s">
        <v>3354</v>
      </c>
      <c r="C57" s="163" t="s">
        <v>3527</v>
      </c>
      <c r="D57" s="223" t="s">
        <v>1035</v>
      </c>
      <c r="E57" s="164" t="s">
        <v>3355</v>
      </c>
      <c r="F57" s="164" t="str">
        <f t="shared" si="1"/>
        <v>hh_water_payment_amount</v>
      </c>
      <c r="G57" s="170" t="s">
        <v>3528</v>
      </c>
      <c r="H57" s="173" t="s">
        <v>3529</v>
      </c>
      <c r="I57" s="241" t="s">
        <v>3513</v>
      </c>
      <c r="J57" s="197"/>
      <c r="K57" s="335" t="str">
        <f>VLOOKUP(G57,[1]survey!$A:$D,3,FALSE)</f>
        <v>hh_water_payment_amount</v>
      </c>
      <c r="L57" s="331" t="s">
        <v>3530</v>
      </c>
    </row>
    <row r="58" spans="1:16" ht="151.5" customHeight="1">
      <c r="A58" s="296" t="s">
        <v>3482</v>
      </c>
      <c r="B58" s="163" t="s">
        <v>3354</v>
      </c>
      <c r="C58" s="163" t="s">
        <v>3531</v>
      </c>
      <c r="D58" s="223" t="s">
        <v>1035</v>
      </c>
      <c r="E58" s="164" t="s">
        <v>3355</v>
      </c>
      <c r="F58" s="164" t="str">
        <f t="shared" si="1"/>
        <v>hh_water_treatment</v>
      </c>
      <c r="G58" s="197" t="s">
        <v>3532</v>
      </c>
      <c r="H58" s="173" t="s">
        <v>3377</v>
      </c>
      <c r="I58" s="241" t="s">
        <v>3533</v>
      </c>
      <c r="J58" s="197"/>
      <c r="K58" s="335" t="str">
        <f>VLOOKUP(G58,[1]survey!$A:$D,3,FALSE)</f>
        <v>hh_water_treatment</v>
      </c>
      <c r="L58" s="331" t="s">
        <v>3534</v>
      </c>
    </row>
    <row r="59" spans="1:16" ht="51.75" customHeight="1">
      <c r="A59" s="373" t="s">
        <v>3535</v>
      </c>
      <c r="B59" s="163" t="s">
        <v>3354</v>
      </c>
      <c r="C59" s="163" t="s">
        <v>3536</v>
      </c>
      <c r="D59" s="223" t="s">
        <v>1035</v>
      </c>
      <c r="E59" s="164" t="s">
        <v>3355</v>
      </c>
      <c r="F59" s="164" t="str">
        <f t="shared" si="1"/>
        <v>felt_unsafe_when_accessing_public_water_source</v>
      </c>
      <c r="G59" s="175" t="s">
        <v>3537</v>
      </c>
      <c r="H59" s="176" t="s">
        <v>3377</v>
      </c>
      <c r="I59" s="241" t="s">
        <v>3538</v>
      </c>
      <c r="J59" s="172"/>
      <c r="K59" s="335" t="str">
        <f>VLOOKUP(G59,[1]survey!$A:$D,3,FALSE)</f>
        <v>felt_unsafe_when_accessing_public_water_source</v>
      </c>
      <c r="L59" s="329" t="s">
        <v>3539</v>
      </c>
    </row>
    <row r="60" spans="1:16" ht="121.5" customHeight="1">
      <c r="A60" s="374"/>
      <c r="B60" s="163"/>
      <c r="C60" s="163" t="s">
        <v>3540</v>
      </c>
      <c r="D60" s="223" t="s">
        <v>1035</v>
      </c>
      <c r="E60" s="164"/>
      <c r="F60" s="164" t="str">
        <f t="shared" si="1"/>
        <v>felt_unsafe_reason</v>
      </c>
      <c r="G60" s="175" t="s">
        <v>3541</v>
      </c>
      <c r="H60" s="176" t="s">
        <v>3406</v>
      </c>
      <c r="I60" s="241" t="s">
        <v>3542</v>
      </c>
      <c r="J60" s="172"/>
      <c r="K60" s="335" t="str">
        <f>VLOOKUP(G60,[1]survey!$A:$D,3,FALSE)</f>
        <v>felt_unsafe_reason</v>
      </c>
    </row>
    <row r="61" spans="1:16" ht="65.25" customHeight="1">
      <c r="A61" s="405" t="s">
        <v>3543</v>
      </c>
      <c r="B61" s="182" t="s">
        <v>3354</v>
      </c>
      <c r="C61" s="182" t="s">
        <v>3544</v>
      </c>
      <c r="D61" s="223" t="s">
        <v>1035</v>
      </c>
      <c r="E61" s="169" t="s">
        <v>3355</v>
      </c>
      <c r="F61" s="164" t="str">
        <f t="shared" si="1"/>
        <v>hh_informed_about_water_services_availability</v>
      </c>
      <c r="G61" s="199" t="s">
        <v>3545</v>
      </c>
      <c r="H61" s="203" t="s">
        <v>3377</v>
      </c>
      <c r="I61" s="319" t="s">
        <v>3546</v>
      </c>
      <c r="J61" s="172"/>
      <c r="K61" s="335" t="str">
        <f>VLOOKUP(G61,[1]survey!$A:$D,3,FALSE)</f>
        <v>hh_informed_about_water_services_availability</v>
      </c>
    </row>
    <row r="62" spans="1:16" ht="65.25" customHeight="1">
      <c r="A62" s="406"/>
      <c r="B62" s="182" t="s">
        <v>3354</v>
      </c>
      <c r="C62" s="182" t="s">
        <v>3547</v>
      </c>
      <c r="D62" s="223" t="s">
        <v>1035</v>
      </c>
      <c r="E62" s="169" t="s">
        <v>3355</v>
      </c>
      <c r="F62" s="164" t="str">
        <f t="shared" si="1"/>
        <v>received_information_no_accurte</v>
      </c>
      <c r="G62" s="205" t="s">
        <v>3548</v>
      </c>
      <c r="H62" s="200" t="s">
        <v>3406</v>
      </c>
      <c r="I62" s="319" t="s">
        <v>3549</v>
      </c>
      <c r="J62" s="172"/>
      <c r="K62" s="335" t="str">
        <f>VLOOKUP(G62,[1]survey!$A:$D,3,FALSE)</f>
        <v>received_information_no_accurte</v>
      </c>
    </row>
    <row r="63" spans="1:16" ht="115.5" customHeight="1">
      <c r="A63" s="406"/>
      <c r="B63" s="182" t="s">
        <v>3354</v>
      </c>
      <c r="C63" s="182" t="s">
        <v>3550</v>
      </c>
      <c r="D63" s="223" t="s">
        <v>1035</v>
      </c>
      <c r="E63" s="169" t="s">
        <v>3355</v>
      </c>
      <c r="F63" s="164" t="str">
        <f t="shared" si="1"/>
        <v>receive_information_about_water_services</v>
      </c>
      <c r="G63" s="199" t="s">
        <v>3551</v>
      </c>
      <c r="H63" s="200" t="s">
        <v>3406</v>
      </c>
      <c r="I63" s="266" t="s">
        <v>3552</v>
      </c>
      <c r="J63" s="172"/>
      <c r="K63" s="335" t="str">
        <f>VLOOKUP(G63,[1]survey!$A:$D,3,FALSE)</f>
        <v>receive_information_about_water_services</v>
      </c>
      <c r="L63" s="330" t="s">
        <v>3553</v>
      </c>
    </row>
    <row r="64" spans="1:16" ht="112.5" customHeight="1">
      <c r="A64" s="407"/>
      <c r="B64" s="182" t="s">
        <v>3354</v>
      </c>
      <c r="C64" s="182" t="s">
        <v>3554</v>
      </c>
      <c r="D64" s="223" t="s">
        <v>1035</v>
      </c>
      <c r="E64" s="169" t="s">
        <v>3355</v>
      </c>
      <c r="F64" s="164" t="str">
        <f t="shared" si="1"/>
        <v>water_info_preference</v>
      </c>
      <c r="G64" s="205" t="s">
        <v>3555</v>
      </c>
      <c r="H64" s="201" t="s">
        <v>3406</v>
      </c>
      <c r="I64" s="266" t="s">
        <v>3556</v>
      </c>
      <c r="J64" s="172"/>
      <c r="K64" s="335" t="str">
        <f>VLOOKUP(G64,[1]survey!$A:$D,3,FALSE)</f>
        <v>water_info_preference</v>
      </c>
    </row>
    <row r="65" spans="1:12" ht="124.5" customHeight="1">
      <c r="A65" s="415" t="s">
        <v>3557</v>
      </c>
      <c r="B65" s="163" t="s">
        <v>3354</v>
      </c>
      <c r="C65" s="163" t="s">
        <v>3558</v>
      </c>
      <c r="D65" s="223" t="s">
        <v>1035</v>
      </c>
      <c r="E65" s="229" t="s">
        <v>3355</v>
      </c>
      <c r="F65" s="164" t="str">
        <f t="shared" si="1"/>
        <v>wash_improvement_needed</v>
      </c>
      <c r="G65" s="322" t="s">
        <v>3559</v>
      </c>
      <c r="H65" s="323" t="s">
        <v>3377</v>
      </c>
      <c r="I65" s="324" t="s">
        <v>3560</v>
      </c>
      <c r="J65" s="196"/>
      <c r="K65" s="335" t="str">
        <f>VLOOKUP(G65,[1]survey!$A:$D,3,FALSE)</f>
        <v>wash_improvement_needed</v>
      </c>
      <c r="L65" s="334"/>
    </row>
    <row r="66" spans="1:12" ht="111.75" customHeight="1">
      <c r="A66" s="373"/>
      <c r="B66" s="163"/>
      <c r="C66" s="163" t="s">
        <v>3561</v>
      </c>
      <c r="D66" s="223" t="s">
        <v>1035</v>
      </c>
      <c r="E66" s="229" t="s">
        <v>3355</v>
      </c>
      <c r="F66" s="164" t="str">
        <f t="shared" si="1"/>
        <v>wash_improvement_needed2</v>
      </c>
      <c r="G66" s="322" t="s">
        <v>3562</v>
      </c>
      <c r="H66" s="323" t="s">
        <v>3377</v>
      </c>
      <c r="I66" s="324" t="s">
        <v>3563</v>
      </c>
      <c r="J66" s="196"/>
      <c r="K66" s="335" t="str">
        <f>VLOOKUP(G66,[1]survey!$A:$D,3,FALSE)</f>
        <v>wash_improvement_needed2</v>
      </c>
      <c r="L66" s="334"/>
    </row>
    <row r="67" spans="1:12" ht="105" customHeight="1">
      <c r="A67" s="373"/>
      <c r="B67" s="163" t="s">
        <v>3354</v>
      </c>
      <c r="C67" s="163" t="s">
        <v>3564</v>
      </c>
      <c r="D67" s="223" t="s">
        <v>1035</v>
      </c>
      <c r="E67" s="229" t="s">
        <v>3355</v>
      </c>
      <c r="F67" s="164" t="str">
        <f t="shared" si="1"/>
        <v>wash_improvement_needed3</v>
      </c>
      <c r="G67" s="322" t="s">
        <v>3565</v>
      </c>
      <c r="H67" s="323" t="s">
        <v>3357</v>
      </c>
      <c r="I67" s="324" t="s">
        <v>3563</v>
      </c>
      <c r="J67" s="196"/>
      <c r="K67" s="335" t="str">
        <f>VLOOKUP(G67,[1]survey!$A:$D,3,FALSE)</f>
        <v>wash_improvement_needed3</v>
      </c>
      <c r="L67" s="334"/>
    </row>
    <row r="68" spans="1:12" ht="22.5" customHeight="1">
      <c r="A68" s="408" t="s">
        <v>312</v>
      </c>
      <c r="B68" s="409"/>
      <c r="C68" s="409"/>
      <c r="D68" s="409"/>
      <c r="E68" s="409"/>
      <c r="F68" s="409"/>
      <c r="G68" s="409"/>
      <c r="H68" s="409"/>
      <c r="I68" s="409"/>
      <c r="J68" s="410"/>
      <c r="K68" s="335" t="str">
        <f>VLOOKUP(G68,[1]survey!$A:$D,3,FALSE)</f>
        <v>start</v>
      </c>
    </row>
    <row r="69" spans="1:12" ht="104">
      <c r="A69" s="211" t="s">
        <v>3445</v>
      </c>
      <c r="B69" s="172" t="s">
        <v>3354</v>
      </c>
      <c r="C69" s="172" t="s">
        <v>3566</v>
      </c>
      <c r="D69" s="197" t="s">
        <v>312</v>
      </c>
      <c r="E69" s="172" t="s">
        <v>3355</v>
      </c>
      <c r="F69" s="164" t="str">
        <f t="shared" si="1"/>
        <v>access_health_facilities</v>
      </c>
      <c r="G69" s="172" t="s">
        <v>3567</v>
      </c>
      <c r="H69" s="172" t="s">
        <v>3485</v>
      </c>
      <c r="I69" s="241" t="s">
        <v>3568</v>
      </c>
      <c r="J69" s="172" t="s">
        <v>3569</v>
      </c>
      <c r="K69" s="335" t="str">
        <f>VLOOKUP(G69,[1]survey!$A:$D,3,FALSE)</f>
        <v>access_health_facilities</v>
      </c>
      <c r="L69" s="329" t="s">
        <v>3570</v>
      </c>
    </row>
    <row r="70" spans="1:12" ht="79.5" customHeight="1">
      <c r="A70" s="378" t="s">
        <v>3471</v>
      </c>
      <c r="B70" s="163" t="s">
        <v>3354</v>
      </c>
      <c r="C70" s="163" t="s">
        <v>3571</v>
      </c>
      <c r="D70" s="197" t="s">
        <v>312</v>
      </c>
      <c r="E70" s="164" t="s">
        <v>3355</v>
      </c>
      <c r="F70" s="164" t="str">
        <f t="shared" si="1"/>
        <v>operating_health_post</v>
      </c>
      <c r="G70" s="172" t="s">
        <v>3853</v>
      </c>
      <c r="H70" s="173" t="s">
        <v>3377</v>
      </c>
      <c r="I70" s="241" t="s">
        <v>3573</v>
      </c>
      <c r="J70" s="172" t="s">
        <v>3574</v>
      </c>
      <c r="K70" s="335" t="str">
        <f>VLOOKUP(G70,[1]survey!$A:$D,3,FALSE)</f>
        <v>operating_health_post</v>
      </c>
    </row>
    <row r="71" spans="1:12" ht="117">
      <c r="A71" s="378"/>
      <c r="B71" s="163" t="s">
        <v>3354</v>
      </c>
      <c r="C71" s="163" t="s">
        <v>3575</v>
      </c>
      <c r="D71" s="197" t="s">
        <v>312</v>
      </c>
      <c r="E71" s="164" t="s">
        <v>3355</v>
      </c>
      <c r="F71" s="164" t="str">
        <f t="shared" si="1"/>
        <v>health_post_non_functionality_reason</v>
      </c>
      <c r="G71" s="172" t="s">
        <v>3576</v>
      </c>
      <c r="H71" s="173" t="s">
        <v>3491</v>
      </c>
      <c r="I71" s="241" t="s">
        <v>3577</v>
      </c>
      <c r="J71" s="172"/>
      <c r="K71" s="335" t="str">
        <f>VLOOKUP(G71,[1]survey!$A:$D,3,FALSE)</f>
        <v>health_post_non_functionality_reason</v>
      </c>
    </row>
    <row r="72" spans="1:12" ht="286">
      <c r="A72" s="211" t="s">
        <v>3445</v>
      </c>
      <c r="B72" s="163" t="s">
        <v>3354</v>
      </c>
      <c r="C72" s="163" t="s">
        <v>3578</v>
      </c>
      <c r="D72" s="197" t="s">
        <v>312</v>
      </c>
      <c r="E72" s="164" t="s">
        <v>3355</v>
      </c>
      <c r="F72" s="164" t="str">
        <f t="shared" si="1"/>
        <v>health_post_services</v>
      </c>
      <c r="G72" s="172" t="s">
        <v>3579</v>
      </c>
      <c r="H72" s="167" t="s">
        <v>3406</v>
      </c>
      <c r="I72" s="241" t="s">
        <v>3580</v>
      </c>
      <c r="J72" s="172" t="s">
        <v>3581</v>
      </c>
      <c r="K72" s="335" t="str">
        <f>VLOOKUP(G72,[1]survey!$A:$D,3,FALSE)</f>
        <v>health_post_services</v>
      </c>
      <c r="L72" s="329" t="s">
        <v>3582</v>
      </c>
    </row>
    <row r="73" spans="1:12" ht="117">
      <c r="A73" s="211" t="s">
        <v>3451</v>
      </c>
      <c r="B73" s="163" t="s">
        <v>3354</v>
      </c>
      <c r="C73" s="163" t="s">
        <v>3583</v>
      </c>
      <c r="D73" s="197" t="s">
        <v>312</v>
      </c>
      <c r="E73" s="164" t="s">
        <v>3355</v>
      </c>
      <c r="F73" s="164" t="str">
        <f t="shared" si="1"/>
        <v>health_post_location</v>
      </c>
      <c r="G73" s="172" t="s">
        <v>3584</v>
      </c>
      <c r="H73" s="202" t="s">
        <v>3357</v>
      </c>
      <c r="I73" s="265" t="s">
        <v>3585</v>
      </c>
      <c r="J73" s="172"/>
      <c r="K73" s="335" t="str">
        <f>VLOOKUP(G73,[1]survey!$A:$D,3,FALSE)</f>
        <v>health_post_location</v>
      </c>
      <c r="L73" s="331" t="s">
        <v>3586</v>
      </c>
    </row>
    <row r="74" spans="1:12" ht="208.5">
      <c r="A74" s="211" t="s">
        <v>3587</v>
      </c>
      <c r="B74" s="163" t="s">
        <v>3354</v>
      </c>
      <c r="C74" s="163" t="s">
        <v>3588</v>
      </c>
      <c r="D74" s="197" t="s">
        <v>312</v>
      </c>
      <c r="E74" s="164" t="s">
        <v>3355</v>
      </c>
      <c r="F74" s="164" t="str">
        <f t="shared" si="1"/>
        <v>health_post_located_out_of_kebele</v>
      </c>
      <c r="G74" s="197" t="s">
        <v>3589</v>
      </c>
      <c r="H74" s="202" t="s">
        <v>3485</v>
      </c>
      <c r="I74" s="265" t="s">
        <v>3590</v>
      </c>
      <c r="J74" s="172"/>
      <c r="K74" s="335" t="str">
        <f>VLOOKUP(G74,[1]survey!$A:$D,3,FALSE)</f>
        <v>health_post_located_out_of_kebele</v>
      </c>
      <c r="L74" s="331" t="s">
        <v>3591</v>
      </c>
    </row>
    <row r="75" spans="1:12" ht="91.5" customHeight="1">
      <c r="A75" s="211" t="s">
        <v>3592</v>
      </c>
      <c r="B75" s="163" t="s">
        <v>3354</v>
      </c>
      <c r="C75" s="163" t="s">
        <v>3593</v>
      </c>
      <c r="D75" s="197" t="s">
        <v>312</v>
      </c>
      <c r="E75" s="164" t="s">
        <v>3355</v>
      </c>
      <c r="F75" s="164" t="str">
        <f t="shared" si="1"/>
        <v>travel_time_to_health_post</v>
      </c>
      <c r="G75" s="172" t="s">
        <v>3594</v>
      </c>
      <c r="H75" s="202" t="s">
        <v>3377</v>
      </c>
      <c r="I75" s="265" t="s">
        <v>3595</v>
      </c>
      <c r="J75" s="172"/>
      <c r="K75" s="335" t="str">
        <f>VLOOKUP(G75,[1]survey!$A:$D,3,FALSE)</f>
        <v>travel_time_to_health_post</v>
      </c>
    </row>
    <row r="76" spans="1:12" ht="104.25" customHeight="1">
      <c r="A76" s="211" t="s">
        <v>3596</v>
      </c>
      <c r="B76" s="163" t="s">
        <v>3354</v>
      </c>
      <c r="C76" s="163" t="s">
        <v>3597</v>
      </c>
      <c r="D76" s="197" t="s">
        <v>312</v>
      </c>
      <c r="E76" s="164" t="s">
        <v>3355</v>
      </c>
      <c r="F76" s="164" t="s">
        <v>3870</v>
      </c>
      <c r="G76" s="318" t="s">
        <v>3598</v>
      </c>
      <c r="H76" s="173" t="s">
        <v>3377</v>
      </c>
      <c r="I76" s="241" t="s">
        <v>3599</v>
      </c>
      <c r="J76" s="172" t="s">
        <v>3600</v>
      </c>
      <c r="K76" s="335" t="str">
        <f>VLOOKUP(G76,[1]survey!$A:$D,3,FALSE)</f>
        <v>health_post_owner</v>
      </c>
    </row>
    <row r="77" spans="1:12" ht="104.25" customHeight="1">
      <c r="A77" s="211"/>
      <c r="B77" s="163" t="s">
        <v>3354</v>
      </c>
      <c r="C77" s="163" t="s">
        <v>3571</v>
      </c>
      <c r="D77" s="197" t="s">
        <v>312</v>
      </c>
      <c r="E77" s="164" t="s">
        <v>3355</v>
      </c>
      <c r="F77" s="358" t="s">
        <v>3864</v>
      </c>
      <c r="G77" s="358" t="s">
        <v>3863</v>
      </c>
      <c r="H77" s="173" t="s">
        <v>3377</v>
      </c>
      <c r="I77" s="241" t="s">
        <v>3573</v>
      </c>
      <c r="J77" s="172"/>
      <c r="K77" s="335"/>
    </row>
    <row r="78" spans="1:12" ht="104.25" customHeight="1">
      <c r="A78" s="211"/>
      <c r="B78" s="163" t="s">
        <v>3354</v>
      </c>
      <c r="C78" s="163" t="s">
        <v>3575</v>
      </c>
      <c r="D78" s="197" t="s">
        <v>312</v>
      </c>
      <c r="E78" s="164" t="s">
        <v>3355</v>
      </c>
      <c r="F78" s="359" t="s">
        <v>3865</v>
      </c>
      <c r="G78" s="359" t="s">
        <v>3576</v>
      </c>
      <c r="H78" s="173" t="s">
        <v>3491</v>
      </c>
      <c r="I78" s="241" t="s">
        <v>3577</v>
      </c>
      <c r="J78" s="172"/>
      <c r="K78" s="335"/>
    </row>
    <row r="79" spans="1:12" ht="104.25" customHeight="1">
      <c r="A79" s="211"/>
      <c r="B79" s="163" t="s">
        <v>3354</v>
      </c>
      <c r="C79" s="163" t="s">
        <v>3578</v>
      </c>
      <c r="D79" s="197" t="s">
        <v>312</v>
      </c>
      <c r="E79" s="164" t="s">
        <v>3355</v>
      </c>
      <c r="F79" s="360" t="s">
        <v>3866</v>
      </c>
      <c r="G79" s="360" t="s">
        <v>3579</v>
      </c>
      <c r="H79" s="167" t="s">
        <v>3406</v>
      </c>
      <c r="I79" s="241" t="s">
        <v>3580</v>
      </c>
      <c r="J79" s="172"/>
      <c r="K79" s="335"/>
    </row>
    <row r="80" spans="1:12" ht="104.25" customHeight="1">
      <c r="A80" s="211"/>
      <c r="B80" s="163" t="s">
        <v>3354</v>
      </c>
      <c r="C80" s="163" t="s">
        <v>3583</v>
      </c>
      <c r="D80" s="197" t="s">
        <v>312</v>
      </c>
      <c r="E80" s="164" t="s">
        <v>3355</v>
      </c>
      <c r="F80" s="359" t="s">
        <v>3867</v>
      </c>
      <c r="G80" s="359" t="s">
        <v>3584</v>
      </c>
      <c r="H80" s="202" t="s">
        <v>3357</v>
      </c>
      <c r="I80" s="265" t="s">
        <v>3585</v>
      </c>
      <c r="J80" s="172"/>
      <c r="K80" s="335"/>
    </row>
    <row r="81" spans="1:12" ht="104.25" customHeight="1">
      <c r="A81" s="211"/>
      <c r="B81" s="163" t="s">
        <v>3354</v>
      </c>
      <c r="C81" s="163" t="s">
        <v>3588</v>
      </c>
      <c r="D81" s="197" t="s">
        <v>312</v>
      </c>
      <c r="E81" s="164" t="s">
        <v>3355</v>
      </c>
      <c r="F81" s="359" t="s">
        <v>3868</v>
      </c>
      <c r="G81" s="359" t="s">
        <v>3589</v>
      </c>
      <c r="H81" s="202" t="s">
        <v>3485</v>
      </c>
      <c r="I81" s="265" t="s">
        <v>3590</v>
      </c>
      <c r="J81" s="172"/>
      <c r="K81" s="335"/>
    </row>
    <row r="82" spans="1:12" ht="104.25" customHeight="1">
      <c r="A82" s="211"/>
      <c r="B82" s="163" t="s">
        <v>3354</v>
      </c>
      <c r="C82" s="163" t="s">
        <v>3593</v>
      </c>
      <c r="D82" s="197" t="s">
        <v>312</v>
      </c>
      <c r="E82" s="164" t="s">
        <v>3355</v>
      </c>
      <c r="F82" s="359" t="s">
        <v>3869</v>
      </c>
      <c r="G82" s="359" t="s">
        <v>3594</v>
      </c>
      <c r="H82" s="202" t="s">
        <v>3377</v>
      </c>
      <c r="I82" s="265" t="s">
        <v>3595</v>
      </c>
      <c r="J82" s="172"/>
      <c r="K82" s="335"/>
    </row>
    <row r="83" spans="1:12" ht="104.25" customHeight="1">
      <c r="A83" s="211"/>
      <c r="B83" s="163" t="s">
        <v>3354</v>
      </c>
      <c r="C83" s="163" t="s">
        <v>3597</v>
      </c>
      <c r="D83" s="197" t="s">
        <v>312</v>
      </c>
      <c r="E83" s="164" t="s">
        <v>3355</v>
      </c>
      <c r="F83" s="359" t="s">
        <v>3854</v>
      </c>
      <c r="G83" s="359" t="s">
        <v>3598</v>
      </c>
      <c r="H83" s="173" t="s">
        <v>3377</v>
      </c>
      <c r="I83" s="241" t="s">
        <v>3599</v>
      </c>
      <c r="J83" s="172"/>
      <c r="K83" s="335"/>
    </row>
    <row r="84" spans="1:12" s="357" customFormat="1" ht="104.25" customHeight="1">
      <c r="A84" s="351"/>
      <c r="B84" s="163" t="s">
        <v>3354</v>
      </c>
      <c r="C84" s="163" t="s">
        <v>3571</v>
      </c>
      <c r="D84" s="197" t="s">
        <v>312</v>
      </c>
      <c r="E84" s="164" t="s">
        <v>3355</v>
      </c>
      <c r="F84" s="353" t="s">
        <v>3856</v>
      </c>
      <c r="G84" s="354" t="s">
        <v>3855</v>
      </c>
      <c r="H84" s="173" t="s">
        <v>3377</v>
      </c>
      <c r="I84" s="241" t="s">
        <v>3573</v>
      </c>
      <c r="J84" s="352"/>
      <c r="K84" s="355"/>
      <c r="L84" s="356"/>
    </row>
    <row r="85" spans="1:12" s="357" customFormat="1" ht="104.25" customHeight="1">
      <c r="A85" s="351"/>
      <c r="B85" s="163" t="s">
        <v>3354</v>
      </c>
      <c r="C85" s="163" t="s">
        <v>3575</v>
      </c>
      <c r="D85" s="197" t="s">
        <v>312</v>
      </c>
      <c r="E85" s="164" t="s">
        <v>3355</v>
      </c>
      <c r="F85" s="353" t="s">
        <v>3857</v>
      </c>
      <c r="G85" s="354" t="s">
        <v>3576</v>
      </c>
      <c r="H85" s="173" t="s">
        <v>3491</v>
      </c>
      <c r="I85" s="241" t="s">
        <v>3577</v>
      </c>
      <c r="J85" s="352"/>
      <c r="K85" s="355"/>
      <c r="L85" s="356"/>
    </row>
    <row r="86" spans="1:12" s="357" customFormat="1" ht="104.25" customHeight="1">
      <c r="A86" s="351"/>
      <c r="B86" s="163" t="s">
        <v>3354</v>
      </c>
      <c r="C86" s="163" t="s">
        <v>3578</v>
      </c>
      <c r="D86" s="197" t="s">
        <v>312</v>
      </c>
      <c r="E86" s="164" t="s">
        <v>3355</v>
      </c>
      <c r="F86" s="353" t="s">
        <v>3858</v>
      </c>
      <c r="G86" s="354" t="s">
        <v>3579</v>
      </c>
      <c r="H86" s="167" t="s">
        <v>3406</v>
      </c>
      <c r="I86" s="241" t="s">
        <v>3580</v>
      </c>
      <c r="J86" s="352"/>
      <c r="K86" s="355"/>
      <c r="L86" s="356"/>
    </row>
    <row r="87" spans="1:12" s="357" customFormat="1" ht="104.25" customHeight="1">
      <c r="A87" s="351"/>
      <c r="B87" s="163" t="s">
        <v>3354</v>
      </c>
      <c r="C87" s="163" t="s">
        <v>3583</v>
      </c>
      <c r="D87" s="197" t="s">
        <v>312</v>
      </c>
      <c r="E87" s="164" t="s">
        <v>3355</v>
      </c>
      <c r="F87" s="353" t="s">
        <v>3859</v>
      </c>
      <c r="G87" s="354" t="s">
        <v>3584</v>
      </c>
      <c r="H87" s="202" t="s">
        <v>3357</v>
      </c>
      <c r="I87" s="265" t="s">
        <v>3585</v>
      </c>
      <c r="J87" s="352"/>
      <c r="K87" s="355"/>
      <c r="L87" s="356"/>
    </row>
    <row r="88" spans="1:12" s="357" customFormat="1" ht="104.25" customHeight="1">
      <c r="A88" s="351"/>
      <c r="B88" s="163" t="s">
        <v>3354</v>
      </c>
      <c r="C88" s="163" t="s">
        <v>3588</v>
      </c>
      <c r="D88" s="197" t="s">
        <v>312</v>
      </c>
      <c r="E88" s="164" t="s">
        <v>3355</v>
      </c>
      <c r="F88" s="353" t="s">
        <v>3860</v>
      </c>
      <c r="G88" s="354" t="s">
        <v>3589</v>
      </c>
      <c r="H88" s="202" t="s">
        <v>3485</v>
      </c>
      <c r="I88" s="265" t="s">
        <v>3590</v>
      </c>
      <c r="J88" s="352"/>
      <c r="K88" s="355"/>
      <c r="L88" s="356"/>
    </row>
    <row r="89" spans="1:12" s="357" customFormat="1" ht="104.25" customHeight="1">
      <c r="A89" s="351"/>
      <c r="B89" s="163" t="s">
        <v>3354</v>
      </c>
      <c r="C89" s="163" t="s">
        <v>3593</v>
      </c>
      <c r="D89" s="197" t="s">
        <v>312</v>
      </c>
      <c r="E89" s="164" t="s">
        <v>3355</v>
      </c>
      <c r="F89" s="353" t="s">
        <v>3861</v>
      </c>
      <c r="G89" s="354" t="s">
        <v>3594</v>
      </c>
      <c r="H89" s="202" t="s">
        <v>3377</v>
      </c>
      <c r="I89" s="265" t="s">
        <v>3595</v>
      </c>
      <c r="J89" s="352"/>
      <c r="K89" s="355"/>
      <c r="L89" s="356"/>
    </row>
    <row r="90" spans="1:12" s="357" customFormat="1" ht="104.25" customHeight="1">
      <c r="A90" s="351"/>
      <c r="B90" s="163" t="s">
        <v>3354</v>
      </c>
      <c r="C90" s="163" t="s">
        <v>3597</v>
      </c>
      <c r="D90" s="197" t="s">
        <v>312</v>
      </c>
      <c r="E90" s="164" t="s">
        <v>3355</v>
      </c>
      <c r="F90" s="353" t="s">
        <v>3862</v>
      </c>
      <c r="G90" s="354" t="s">
        <v>3598</v>
      </c>
      <c r="H90" s="173" t="s">
        <v>3377</v>
      </c>
      <c r="I90" s="241" t="s">
        <v>3599</v>
      </c>
      <c r="J90" s="352"/>
      <c r="K90" s="355"/>
      <c r="L90" s="356"/>
    </row>
    <row r="91" spans="1:12" s="357" customFormat="1" ht="104.25" customHeight="1">
      <c r="A91" s="351"/>
      <c r="B91" s="163"/>
      <c r="C91" s="163" t="s">
        <v>3571</v>
      </c>
      <c r="D91" s="197" t="s">
        <v>312</v>
      </c>
      <c r="E91" s="164" t="s">
        <v>3355</v>
      </c>
      <c r="F91" s="358" t="s">
        <v>3871</v>
      </c>
      <c r="G91" s="358" t="s">
        <v>3872</v>
      </c>
      <c r="H91" s="173" t="s">
        <v>3377</v>
      </c>
      <c r="I91" s="241" t="s">
        <v>3573</v>
      </c>
      <c r="J91" s="352"/>
      <c r="K91" s="355"/>
      <c r="L91" s="356"/>
    </row>
    <row r="92" spans="1:12" s="357" customFormat="1" ht="104.25" customHeight="1">
      <c r="A92" s="351"/>
      <c r="B92" s="163"/>
      <c r="C92" s="163" t="s">
        <v>3575</v>
      </c>
      <c r="D92" s="197" t="s">
        <v>312</v>
      </c>
      <c r="E92" s="164" t="s">
        <v>3355</v>
      </c>
      <c r="F92" s="359" t="s">
        <v>3873</v>
      </c>
      <c r="G92" s="359" t="s">
        <v>3576</v>
      </c>
      <c r="H92" s="173" t="s">
        <v>3491</v>
      </c>
      <c r="I92" s="241" t="s">
        <v>3577</v>
      </c>
      <c r="J92" s="352"/>
      <c r="K92" s="355"/>
      <c r="L92" s="356"/>
    </row>
    <row r="93" spans="1:12" s="357" customFormat="1" ht="104.25" customHeight="1">
      <c r="A93" s="351"/>
      <c r="B93" s="163"/>
      <c r="C93" s="163" t="s">
        <v>3578</v>
      </c>
      <c r="D93" s="197" t="s">
        <v>312</v>
      </c>
      <c r="E93" s="164" t="s">
        <v>3355</v>
      </c>
      <c r="F93" s="360" t="s">
        <v>3874</v>
      </c>
      <c r="G93" s="360" t="s">
        <v>3579</v>
      </c>
      <c r="H93" s="167" t="s">
        <v>3406</v>
      </c>
      <c r="I93" s="241" t="s">
        <v>3580</v>
      </c>
      <c r="J93" s="352"/>
      <c r="K93" s="355"/>
      <c r="L93" s="356"/>
    </row>
    <row r="94" spans="1:12" s="357" customFormat="1" ht="104.25" customHeight="1">
      <c r="A94" s="351"/>
      <c r="B94" s="163"/>
      <c r="C94" s="163" t="s">
        <v>3583</v>
      </c>
      <c r="D94" s="197" t="s">
        <v>312</v>
      </c>
      <c r="E94" s="164" t="s">
        <v>3355</v>
      </c>
      <c r="F94" s="359" t="s">
        <v>3875</v>
      </c>
      <c r="G94" s="359" t="s">
        <v>3584</v>
      </c>
      <c r="H94" s="202" t="s">
        <v>3357</v>
      </c>
      <c r="I94" s="265" t="s">
        <v>3585</v>
      </c>
      <c r="J94" s="352"/>
      <c r="K94" s="355"/>
      <c r="L94" s="356"/>
    </row>
    <row r="95" spans="1:12" s="357" customFormat="1" ht="104.25" customHeight="1">
      <c r="A95" s="351"/>
      <c r="B95" s="163"/>
      <c r="C95" s="163" t="s">
        <v>3588</v>
      </c>
      <c r="D95" s="197" t="s">
        <v>312</v>
      </c>
      <c r="E95" s="164" t="s">
        <v>3355</v>
      </c>
      <c r="F95" s="359" t="s">
        <v>3876</v>
      </c>
      <c r="G95" s="359" t="s">
        <v>3589</v>
      </c>
      <c r="H95" s="202" t="s">
        <v>3485</v>
      </c>
      <c r="I95" s="265" t="s">
        <v>3590</v>
      </c>
      <c r="J95" s="352"/>
      <c r="K95" s="355"/>
      <c r="L95" s="356"/>
    </row>
    <row r="96" spans="1:12" s="357" customFormat="1" ht="104.25" customHeight="1">
      <c r="A96" s="351"/>
      <c r="B96" s="163"/>
      <c r="C96" s="163" t="s">
        <v>3593</v>
      </c>
      <c r="D96" s="197" t="s">
        <v>312</v>
      </c>
      <c r="E96" s="164" t="s">
        <v>3355</v>
      </c>
      <c r="F96" s="359" t="s">
        <v>3877</v>
      </c>
      <c r="G96" s="359" t="s">
        <v>3594</v>
      </c>
      <c r="H96" s="202" t="s">
        <v>3377</v>
      </c>
      <c r="I96" s="265" t="s">
        <v>3595</v>
      </c>
      <c r="J96" s="352"/>
      <c r="K96" s="355"/>
      <c r="L96" s="356"/>
    </row>
    <row r="97" spans="1:12" s="357" customFormat="1" ht="104.25" customHeight="1">
      <c r="A97" s="351"/>
      <c r="B97" s="163"/>
      <c r="C97" s="163" t="s">
        <v>3597</v>
      </c>
      <c r="D97" s="197" t="s">
        <v>312</v>
      </c>
      <c r="E97" s="164" t="s">
        <v>3355</v>
      </c>
      <c r="F97" s="359" t="s">
        <v>3878</v>
      </c>
      <c r="G97" s="359" t="s">
        <v>3598</v>
      </c>
      <c r="H97" s="173" t="s">
        <v>3377</v>
      </c>
      <c r="I97" s="241" t="s">
        <v>3599</v>
      </c>
      <c r="J97" s="352"/>
      <c r="K97" s="355"/>
      <c r="L97" s="356"/>
    </row>
    <row r="98" spans="1:12" s="357" customFormat="1" ht="104.25" customHeight="1">
      <c r="A98" s="351"/>
      <c r="B98" s="163"/>
      <c r="C98" s="163" t="s">
        <v>3571</v>
      </c>
      <c r="D98" s="197" t="s">
        <v>312</v>
      </c>
      <c r="E98" s="164" t="s">
        <v>3355</v>
      </c>
      <c r="F98" s="358" t="s">
        <v>3879</v>
      </c>
      <c r="G98" s="358" t="s">
        <v>3572</v>
      </c>
      <c r="H98" s="173" t="s">
        <v>3377</v>
      </c>
      <c r="I98" s="241" t="s">
        <v>3573</v>
      </c>
      <c r="J98" s="352"/>
      <c r="K98" s="355"/>
      <c r="L98" s="356"/>
    </row>
    <row r="99" spans="1:12" s="357" customFormat="1" ht="104.25" customHeight="1">
      <c r="A99" s="351"/>
      <c r="B99" s="163"/>
      <c r="C99" s="163" t="s">
        <v>3575</v>
      </c>
      <c r="D99" s="197" t="s">
        <v>312</v>
      </c>
      <c r="E99" s="164" t="s">
        <v>3355</v>
      </c>
      <c r="F99" s="359" t="s">
        <v>3880</v>
      </c>
      <c r="G99" s="359" t="s">
        <v>3576</v>
      </c>
      <c r="H99" s="173" t="s">
        <v>3491</v>
      </c>
      <c r="I99" s="241" t="s">
        <v>3577</v>
      </c>
      <c r="J99" s="352"/>
      <c r="K99" s="355"/>
      <c r="L99" s="356"/>
    </row>
    <row r="100" spans="1:12" s="357" customFormat="1" ht="104.25" customHeight="1">
      <c r="A100" s="351"/>
      <c r="B100" s="163"/>
      <c r="C100" s="163" t="s">
        <v>3578</v>
      </c>
      <c r="D100" s="197" t="s">
        <v>312</v>
      </c>
      <c r="E100" s="164" t="s">
        <v>3355</v>
      </c>
      <c r="F100" s="360" t="s">
        <v>3881</v>
      </c>
      <c r="G100" s="360" t="s">
        <v>3579</v>
      </c>
      <c r="H100" s="167" t="s">
        <v>3406</v>
      </c>
      <c r="I100" s="241" t="s">
        <v>3580</v>
      </c>
      <c r="J100" s="352"/>
      <c r="K100" s="355"/>
      <c r="L100" s="356"/>
    </row>
    <row r="101" spans="1:12" s="357" customFormat="1" ht="104.25" customHeight="1">
      <c r="A101" s="351"/>
      <c r="B101" s="163"/>
      <c r="C101" s="163" t="s">
        <v>3583</v>
      </c>
      <c r="D101" s="197" t="s">
        <v>312</v>
      </c>
      <c r="E101" s="164" t="s">
        <v>3355</v>
      </c>
      <c r="F101" s="359" t="s">
        <v>3882</v>
      </c>
      <c r="G101" s="359" t="s">
        <v>3584</v>
      </c>
      <c r="H101" s="202" t="s">
        <v>3357</v>
      </c>
      <c r="I101" s="265" t="s">
        <v>3585</v>
      </c>
      <c r="J101" s="352"/>
      <c r="K101" s="355"/>
      <c r="L101" s="356"/>
    </row>
    <row r="102" spans="1:12" s="357" customFormat="1" ht="104.25" customHeight="1">
      <c r="A102" s="351"/>
      <c r="B102" s="163"/>
      <c r="C102" s="163" t="s">
        <v>3588</v>
      </c>
      <c r="D102" s="197" t="s">
        <v>312</v>
      </c>
      <c r="E102" s="164" t="s">
        <v>3355</v>
      </c>
      <c r="F102" s="359" t="s">
        <v>3883</v>
      </c>
      <c r="G102" s="359" t="s">
        <v>3589</v>
      </c>
      <c r="H102" s="202" t="s">
        <v>3485</v>
      </c>
      <c r="I102" s="265" t="s">
        <v>3590</v>
      </c>
      <c r="J102" s="352"/>
      <c r="K102" s="355"/>
      <c r="L102" s="356"/>
    </row>
    <row r="103" spans="1:12" s="357" customFormat="1" ht="104.25" customHeight="1">
      <c r="A103" s="351"/>
      <c r="B103" s="163"/>
      <c r="C103" s="163" t="s">
        <v>3593</v>
      </c>
      <c r="D103" s="197" t="s">
        <v>312</v>
      </c>
      <c r="E103" s="164" t="s">
        <v>3355</v>
      </c>
      <c r="F103" s="359" t="s">
        <v>3884</v>
      </c>
      <c r="G103" s="359" t="s">
        <v>3594</v>
      </c>
      <c r="H103" s="202" t="s">
        <v>3377</v>
      </c>
      <c r="I103" s="265" t="s">
        <v>3595</v>
      </c>
      <c r="J103" s="352"/>
      <c r="K103" s="355"/>
      <c r="L103" s="356"/>
    </row>
    <row r="104" spans="1:12" s="357" customFormat="1" ht="104.25" customHeight="1">
      <c r="A104" s="351"/>
      <c r="B104" s="163"/>
      <c r="C104" s="163" t="s">
        <v>3597</v>
      </c>
      <c r="D104" s="197" t="s">
        <v>312</v>
      </c>
      <c r="E104" s="164" t="s">
        <v>3355</v>
      </c>
      <c r="F104" s="359" t="s">
        <v>3885</v>
      </c>
      <c r="G104" s="359" t="s">
        <v>3598</v>
      </c>
      <c r="H104" s="173" t="s">
        <v>3377</v>
      </c>
      <c r="I104" s="241" t="s">
        <v>3599</v>
      </c>
      <c r="J104" s="352"/>
      <c r="K104" s="355"/>
      <c r="L104" s="356"/>
    </row>
    <row r="105" spans="1:12" s="357" customFormat="1" ht="104.25" customHeight="1">
      <c r="A105" s="351"/>
      <c r="B105" s="163"/>
      <c r="C105" s="163" t="s">
        <v>3571</v>
      </c>
      <c r="D105" s="197" t="s">
        <v>312</v>
      </c>
      <c r="E105" s="164" t="s">
        <v>3355</v>
      </c>
      <c r="F105" s="358" t="s">
        <v>3886</v>
      </c>
      <c r="G105" s="358" t="s">
        <v>3887</v>
      </c>
      <c r="H105" s="173" t="s">
        <v>3377</v>
      </c>
      <c r="I105" s="241" t="s">
        <v>3573</v>
      </c>
      <c r="J105" s="352"/>
      <c r="K105" s="355"/>
      <c r="L105" s="356"/>
    </row>
    <row r="106" spans="1:12" s="357" customFormat="1" ht="104.25" customHeight="1">
      <c r="A106" s="351"/>
      <c r="B106" s="163"/>
      <c r="C106" s="163" t="s">
        <v>3575</v>
      </c>
      <c r="D106" s="197" t="s">
        <v>312</v>
      </c>
      <c r="E106" s="164" t="s">
        <v>3355</v>
      </c>
      <c r="F106" s="359" t="s">
        <v>3888</v>
      </c>
      <c r="G106" s="359" t="s">
        <v>3576</v>
      </c>
      <c r="H106" s="173" t="s">
        <v>3491</v>
      </c>
      <c r="I106" s="241" t="s">
        <v>3577</v>
      </c>
      <c r="J106" s="352"/>
      <c r="K106" s="355"/>
      <c r="L106" s="356"/>
    </row>
    <row r="107" spans="1:12" s="357" customFormat="1" ht="104.25" customHeight="1">
      <c r="A107" s="351"/>
      <c r="B107" s="163"/>
      <c r="C107" s="163" t="s">
        <v>3578</v>
      </c>
      <c r="D107" s="197" t="s">
        <v>312</v>
      </c>
      <c r="E107" s="164" t="s">
        <v>3355</v>
      </c>
      <c r="F107" s="360" t="s">
        <v>3889</v>
      </c>
      <c r="G107" s="360" t="s">
        <v>3579</v>
      </c>
      <c r="H107" s="167" t="s">
        <v>3406</v>
      </c>
      <c r="I107" s="241" t="s">
        <v>3580</v>
      </c>
      <c r="J107" s="352"/>
      <c r="K107" s="355"/>
      <c r="L107" s="356"/>
    </row>
    <row r="108" spans="1:12" s="357" customFormat="1" ht="104.25" customHeight="1">
      <c r="A108" s="351"/>
      <c r="B108" s="163"/>
      <c r="C108" s="163" t="s">
        <v>3583</v>
      </c>
      <c r="D108" s="197" t="s">
        <v>312</v>
      </c>
      <c r="E108" s="164" t="s">
        <v>3355</v>
      </c>
      <c r="F108" s="359" t="s">
        <v>3890</v>
      </c>
      <c r="G108" s="359" t="s">
        <v>3584</v>
      </c>
      <c r="H108" s="202" t="s">
        <v>3357</v>
      </c>
      <c r="I108" s="265" t="s">
        <v>3585</v>
      </c>
      <c r="J108" s="352"/>
      <c r="K108" s="355"/>
      <c r="L108" s="356"/>
    </row>
    <row r="109" spans="1:12" s="357" customFormat="1" ht="104.25" customHeight="1">
      <c r="A109" s="351"/>
      <c r="B109" s="163"/>
      <c r="C109" s="163" t="s">
        <v>3588</v>
      </c>
      <c r="D109" s="197" t="s">
        <v>312</v>
      </c>
      <c r="E109" s="164" t="s">
        <v>3355</v>
      </c>
      <c r="F109" s="359" t="s">
        <v>3891</v>
      </c>
      <c r="G109" s="359" t="s">
        <v>3589</v>
      </c>
      <c r="H109" s="202" t="s">
        <v>3485</v>
      </c>
      <c r="I109" s="265" t="s">
        <v>3590</v>
      </c>
      <c r="J109" s="352"/>
      <c r="K109" s="355"/>
      <c r="L109" s="356"/>
    </row>
    <row r="110" spans="1:12" s="357" customFormat="1" ht="104.25" customHeight="1">
      <c r="A110" s="351"/>
      <c r="B110" s="163"/>
      <c r="C110" s="163" t="s">
        <v>3593</v>
      </c>
      <c r="D110" s="197" t="s">
        <v>312</v>
      </c>
      <c r="E110" s="164" t="s">
        <v>3355</v>
      </c>
      <c r="F110" s="359" t="s">
        <v>3892</v>
      </c>
      <c r="G110" s="359" t="s">
        <v>3594</v>
      </c>
      <c r="H110" s="202" t="s">
        <v>3377</v>
      </c>
      <c r="I110" s="265" t="s">
        <v>3595</v>
      </c>
      <c r="J110" s="352"/>
      <c r="K110" s="355"/>
      <c r="L110" s="356"/>
    </row>
    <row r="111" spans="1:12" s="357" customFormat="1" ht="104.25" customHeight="1">
      <c r="A111" s="351"/>
      <c r="B111" s="163"/>
      <c r="C111" s="163" t="s">
        <v>3597</v>
      </c>
      <c r="D111" s="197" t="s">
        <v>312</v>
      </c>
      <c r="E111" s="164" t="s">
        <v>3355</v>
      </c>
      <c r="F111" s="359" t="s">
        <v>3893</v>
      </c>
      <c r="G111" s="359" t="s">
        <v>3598</v>
      </c>
      <c r="H111" s="173" t="s">
        <v>3377</v>
      </c>
      <c r="I111" s="241" t="s">
        <v>3599</v>
      </c>
      <c r="J111" s="352"/>
      <c r="K111" s="355"/>
      <c r="L111" s="356"/>
    </row>
    <row r="112" spans="1:12" s="357" customFormat="1" ht="104.25" customHeight="1">
      <c r="A112" s="351"/>
      <c r="B112" s="163"/>
      <c r="C112" s="163" t="s">
        <v>3571</v>
      </c>
      <c r="D112" s="197" t="s">
        <v>312</v>
      </c>
      <c r="E112" s="164" t="s">
        <v>3355</v>
      </c>
      <c r="F112" s="358" t="s">
        <v>3894</v>
      </c>
      <c r="G112" s="358" t="s">
        <v>3895</v>
      </c>
      <c r="H112" s="173" t="s">
        <v>3377</v>
      </c>
      <c r="I112" s="241" t="s">
        <v>3573</v>
      </c>
      <c r="J112" s="352"/>
      <c r="K112" s="355"/>
      <c r="L112" s="356"/>
    </row>
    <row r="113" spans="1:12" s="357" customFormat="1" ht="104.25" customHeight="1">
      <c r="A113" s="351"/>
      <c r="B113" s="163"/>
      <c r="C113" s="163" t="s">
        <v>3575</v>
      </c>
      <c r="D113" s="197" t="s">
        <v>312</v>
      </c>
      <c r="E113" s="164" t="s">
        <v>3355</v>
      </c>
      <c r="F113" s="359" t="s">
        <v>3896</v>
      </c>
      <c r="G113" s="359" t="s">
        <v>3576</v>
      </c>
      <c r="H113" s="173" t="s">
        <v>3491</v>
      </c>
      <c r="I113" s="241" t="s">
        <v>3577</v>
      </c>
      <c r="J113" s="352"/>
      <c r="K113" s="355"/>
      <c r="L113" s="356"/>
    </row>
    <row r="114" spans="1:12" s="357" customFormat="1" ht="104.25" customHeight="1">
      <c r="A114" s="351"/>
      <c r="B114" s="163"/>
      <c r="C114" s="163" t="s">
        <v>3578</v>
      </c>
      <c r="D114" s="197" t="s">
        <v>312</v>
      </c>
      <c r="E114" s="164" t="s">
        <v>3355</v>
      </c>
      <c r="F114" s="360" t="s">
        <v>3897</v>
      </c>
      <c r="G114" s="360" t="s">
        <v>3579</v>
      </c>
      <c r="H114" s="167" t="s">
        <v>3406</v>
      </c>
      <c r="I114" s="241" t="s">
        <v>3580</v>
      </c>
      <c r="J114" s="352"/>
      <c r="K114" s="355"/>
      <c r="L114" s="356"/>
    </row>
    <row r="115" spans="1:12" s="357" customFormat="1" ht="104.25" customHeight="1">
      <c r="A115" s="351"/>
      <c r="B115" s="163"/>
      <c r="C115" s="163" t="s">
        <v>3583</v>
      </c>
      <c r="D115" s="197" t="s">
        <v>312</v>
      </c>
      <c r="E115" s="164" t="s">
        <v>3355</v>
      </c>
      <c r="F115" s="359" t="s">
        <v>3898</v>
      </c>
      <c r="G115" s="359" t="s">
        <v>3584</v>
      </c>
      <c r="H115" s="202" t="s">
        <v>3357</v>
      </c>
      <c r="I115" s="265" t="s">
        <v>3585</v>
      </c>
      <c r="J115" s="352"/>
      <c r="K115" s="355"/>
      <c r="L115" s="356"/>
    </row>
    <row r="116" spans="1:12" s="357" customFormat="1" ht="104.25" customHeight="1">
      <c r="A116" s="351"/>
      <c r="B116" s="163"/>
      <c r="C116" s="163" t="s">
        <v>3588</v>
      </c>
      <c r="D116" s="197" t="s">
        <v>312</v>
      </c>
      <c r="E116" s="164" t="s">
        <v>3355</v>
      </c>
      <c r="F116" s="359" t="s">
        <v>3899</v>
      </c>
      <c r="G116" s="359" t="s">
        <v>3589</v>
      </c>
      <c r="H116" s="202" t="s">
        <v>3485</v>
      </c>
      <c r="I116" s="265" t="s">
        <v>3590</v>
      </c>
      <c r="J116" s="352"/>
      <c r="K116" s="355"/>
      <c r="L116" s="356"/>
    </row>
    <row r="117" spans="1:12" s="357" customFormat="1" ht="104.25" customHeight="1">
      <c r="A117" s="351"/>
      <c r="B117" s="163"/>
      <c r="C117" s="163" t="s">
        <v>3593</v>
      </c>
      <c r="D117" s="197" t="s">
        <v>312</v>
      </c>
      <c r="E117" s="164" t="s">
        <v>3355</v>
      </c>
      <c r="F117" s="359" t="s">
        <v>3900</v>
      </c>
      <c r="G117" s="359" t="s">
        <v>3594</v>
      </c>
      <c r="H117" s="202" t="s">
        <v>3377</v>
      </c>
      <c r="I117" s="265" t="s">
        <v>3595</v>
      </c>
      <c r="J117" s="352"/>
      <c r="K117" s="355"/>
      <c r="L117" s="356"/>
    </row>
    <row r="118" spans="1:12" s="357" customFormat="1" ht="104.25" customHeight="1">
      <c r="A118" s="351"/>
      <c r="B118" s="163"/>
      <c r="C118" s="163" t="s">
        <v>3597</v>
      </c>
      <c r="D118" s="197" t="s">
        <v>312</v>
      </c>
      <c r="E118" s="164" t="s">
        <v>3355</v>
      </c>
      <c r="F118" s="359" t="s">
        <v>3901</v>
      </c>
      <c r="G118" s="359" t="s">
        <v>3598</v>
      </c>
      <c r="H118" s="173" t="s">
        <v>3377</v>
      </c>
      <c r="I118" s="241" t="s">
        <v>3599</v>
      </c>
      <c r="J118" s="352"/>
      <c r="K118" s="355"/>
      <c r="L118" s="356"/>
    </row>
    <row r="119" spans="1:12" ht="59.25" customHeight="1">
      <c r="A119" s="211" t="s">
        <v>3445</v>
      </c>
      <c r="B119" s="163" t="s">
        <v>3354</v>
      </c>
      <c r="C119" s="163" t="s">
        <v>3601</v>
      </c>
      <c r="D119" s="197" t="s">
        <v>312</v>
      </c>
      <c r="E119" s="164" t="s">
        <v>3355</v>
      </c>
      <c r="F119" s="164" t="str">
        <f t="shared" si="1"/>
        <v>ambulance_service_accessible</v>
      </c>
      <c r="G119" s="172" t="s">
        <v>3602</v>
      </c>
      <c r="H119" s="167" t="s">
        <v>3377</v>
      </c>
      <c r="I119" s="241" t="s">
        <v>3603</v>
      </c>
      <c r="J119" s="172"/>
      <c r="K119" s="335" t="str">
        <f>VLOOKUP(G119,[1]survey!$A:$D,3,FALSE)</f>
        <v>ambulance_service_accessible</v>
      </c>
    </row>
    <row r="120" spans="1:12" ht="46.5" customHeight="1">
      <c r="A120" s="211" t="s">
        <v>3445</v>
      </c>
      <c r="B120" s="163" t="s">
        <v>3354</v>
      </c>
      <c r="C120" s="163" t="s">
        <v>3604</v>
      </c>
      <c r="D120" s="197" t="s">
        <v>312</v>
      </c>
      <c r="E120" s="171" t="s">
        <v>3355</v>
      </c>
      <c r="F120" s="164" t="str">
        <f t="shared" si="1"/>
        <v>health_need_assistance</v>
      </c>
      <c r="G120" s="177" t="s">
        <v>3605</v>
      </c>
      <c r="H120" s="192" t="s">
        <v>3377</v>
      </c>
      <c r="I120" s="268" t="s">
        <v>3502</v>
      </c>
      <c r="J120" s="172"/>
      <c r="K120" s="335" t="str">
        <f>VLOOKUP(G120,[1]survey!$A:$D,3,FALSE)</f>
        <v>health_need_assistance</v>
      </c>
    </row>
    <row r="121" spans="1:12" ht="286">
      <c r="A121" s="211" t="s">
        <v>3445</v>
      </c>
      <c r="B121" s="163" t="s">
        <v>3354</v>
      </c>
      <c r="C121" s="163" t="s">
        <v>3606</v>
      </c>
      <c r="D121" s="172" t="s">
        <v>312</v>
      </c>
      <c r="E121" s="171" t="s">
        <v>3355</v>
      </c>
      <c r="F121" s="164" t="s">
        <v>3840</v>
      </c>
      <c r="G121" s="177" t="s">
        <v>3839</v>
      </c>
      <c r="H121" s="192" t="s">
        <v>3406</v>
      </c>
      <c r="I121" s="268" t="s">
        <v>3580</v>
      </c>
      <c r="J121" s="172" t="s">
        <v>3607</v>
      </c>
      <c r="K121" s="335" t="e">
        <f>VLOOKUP(G121,[1]survey!$A:$D,3,FALSE)</f>
        <v>#N/A</v>
      </c>
    </row>
    <row r="122" spans="1:12" ht="54" customHeight="1">
      <c r="A122" s="378" t="s">
        <v>3471</v>
      </c>
      <c r="B122" s="163" t="s">
        <v>3354</v>
      </c>
      <c r="C122" s="163" t="s">
        <v>3608</v>
      </c>
      <c r="D122" s="197" t="s">
        <v>312</v>
      </c>
      <c r="E122" s="171" t="s">
        <v>3355</v>
      </c>
      <c r="F122" s="164" t="str">
        <f t="shared" si="1"/>
        <v>hh_member_healthcare_needed</v>
      </c>
      <c r="G122" s="177" t="s">
        <v>3609</v>
      </c>
      <c r="H122" s="192" t="s">
        <v>3377</v>
      </c>
      <c r="I122" s="268" t="s">
        <v>3610</v>
      </c>
      <c r="J122" s="172"/>
      <c r="K122" s="335" t="str">
        <f>VLOOKUP(G122,[1]survey!$A:$D,3,FALSE)</f>
        <v>hh_member_healthcare_needed</v>
      </c>
    </row>
    <row r="123" spans="1:12" ht="286">
      <c r="A123" s="378"/>
      <c r="B123" s="163" t="s">
        <v>3354</v>
      </c>
      <c r="C123" s="163" t="s">
        <v>3611</v>
      </c>
      <c r="D123" s="197" t="s">
        <v>312</v>
      </c>
      <c r="E123" s="171" t="s">
        <v>3355</v>
      </c>
      <c r="F123" s="164" t="str">
        <f t="shared" si="1"/>
        <v>services_not_able_to_access</v>
      </c>
      <c r="G123" s="177" t="s">
        <v>3612</v>
      </c>
      <c r="H123" s="192" t="s">
        <v>3485</v>
      </c>
      <c r="I123" s="267" t="s">
        <v>3580</v>
      </c>
      <c r="J123" s="172"/>
      <c r="K123" s="335" t="str">
        <f>VLOOKUP(G123,[1]survey!$A:$D,3,FALSE)</f>
        <v>services_not_able_to_access</v>
      </c>
      <c r="L123" s="331" t="s">
        <v>3613</v>
      </c>
    </row>
    <row r="124" spans="1:12" ht="46.5" customHeight="1">
      <c r="A124" s="211" t="s">
        <v>3587</v>
      </c>
      <c r="B124" s="163" t="s">
        <v>3354</v>
      </c>
      <c r="C124" s="163" t="s">
        <v>3614</v>
      </c>
      <c r="D124" s="197" t="s">
        <v>312</v>
      </c>
      <c r="E124" s="164" t="s">
        <v>3355</v>
      </c>
      <c r="F124" s="164" t="str">
        <f t="shared" si="1"/>
        <v>services_able_to_access</v>
      </c>
      <c r="G124" s="172" t="s">
        <v>3615</v>
      </c>
      <c r="H124" s="173" t="s">
        <v>3357</v>
      </c>
      <c r="I124" s="241" t="s">
        <v>3616</v>
      </c>
      <c r="J124" s="172"/>
      <c r="K124" s="335" t="str">
        <f>VLOOKUP(G124,[1]survey!$A:$D,3,FALSE)</f>
        <v>services_able_to_access</v>
      </c>
    </row>
    <row r="125" spans="1:12" ht="21.75" customHeight="1">
      <c r="A125" s="211" t="s">
        <v>3445</v>
      </c>
      <c r="B125" s="163" t="s">
        <v>3354</v>
      </c>
      <c r="C125" s="163" t="s">
        <v>3617</v>
      </c>
      <c r="D125" s="197" t="s">
        <v>312</v>
      </c>
      <c r="E125" s="171"/>
      <c r="F125" s="164" t="str">
        <f t="shared" si="1"/>
        <v>health_facility_name</v>
      </c>
      <c r="G125" s="209" t="s">
        <v>3618</v>
      </c>
      <c r="H125" s="192" t="s">
        <v>2605</v>
      </c>
      <c r="I125" s="321" t="s">
        <v>3619</v>
      </c>
      <c r="J125" s="172"/>
      <c r="K125" s="335" t="str">
        <f>VLOOKUP(G125,[1]survey!$A:$D,3,FALSE)</f>
        <v>health_facility_name</v>
      </c>
      <c r="L125" s="331" t="s">
        <v>3620</v>
      </c>
    </row>
    <row r="126" spans="1:12" ht="242.25" customHeight="1">
      <c r="A126" s="211" t="s">
        <v>3587</v>
      </c>
      <c r="B126" s="163" t="s">
        <v>3354</v>
      </c>
      <c r="C126" s="163" t="s">
        <v>3621</v>
      </c>
      <c r="D126" s="197" t="s">
        <v>312</v>
      </c>
      <c r="E126" s="164"/>
      <c r="F126" s="164" t="str">
        <f t="shared" si="1"/>
        <v>unmet_needs_reason</v>
      </c>
      <c r="G126" s="172" t="s">
        <v>3622</v>
      </c>
      <c r="H126" s="173" t="s">
        <v>3406</v>
      </c>
      <c r="I126" s="241" t="s">
        <v>3623</v>
      </c>
      <c r="J126" s="197"/>
      <c r="K126" s="335" t="str">
        <f>VLOOKUP(G126,[1]survey!$A:$D,3,FALSE)</f>
        <v>unmet_needs_reason</v>
      </c>
      <c r="L126" s="331" t="s">
        <v>3624</v>
      </c>
    </row>
    <row r="127" spans="1:12" ht="273">
      <c r="A127" s="211" t="s">
        <v>3587</v>
      </c>
      <c r="B127" s="163" t="s">
        <v>3354</v>
      </c>
      <c r="C127" s="163" t="s">
        <v>3625</v>
      </c>
      <c r="D127" s="197" t="s">
        <v>312</v>
      </c>
      <c r="E127" s="164"/>
      <c r="F127" s="164" t="str">
        <f t="shared" si="1"/>
        <v>services_no_access_reason</v>
      </c>
      <c r="G127" s="172" t="s">
        <v>3626</v>
      </c>
      <c r="H127" s="173" t="s">
        <v>3406</v>
      </c>
      <c r="I127" s="241" t="s">
        <v>3627</v>
      </c>
      <c r="J127" s="197" t="s">
        <v>3600</v>
      </c>
      <c r="K127" s="335" t="str">
        <f>VLOOKUP(G127,[1]survey!$A:$D,3,FALSE)</f>
        <v>services_no_access_reason</v>
      </c>
      <c r="L127" s="331" t="s">
        <v>3628</v>
      </c>
    </row>
    <row r="128" spans="1:12" ht="66.75" customHeight="1">
      <c r="A128" s="416" t="s">
        <v>3592</v>
      </c>
      <c r="B128" s="163" t="s">
        <v>3354</v>
      </c>
      <c r="C128" s="163" t="s">
        <v>3629</v>
      </c>
      <c r="D128" s="197" t="s">
        <v>312</v>
      </c>
      <c r="E128" s="163" t="s">
        <v>3354</v>
      </c>
      <c r="F128" s="164" t="str">
        <f t="shared" si="1"/>
        <v>hh_healthcare_pay</v>
      </c>
      <c r="G128" s="172" t="s">
        <v>3630</v>
      </c>
      <c r="H128" s="173" t="s">
        <v>3377</v>
      </c>
      <c r="I128" s="241" t="s">
        <v>3631</v>
      </c>
      <c r="J128" s="197"/>
      <c r="K128" s="335" t="str">
        <f>VLOOKUP(G128,[1]survey!$A:$D,3,FALSE)</f>
        <v>hh_healthcare_pay</v>
      </c>
      <c r="L128" s="331" t="s">
        <v>3632</v>
      </c>
    </row>
    <row r="129" spans="1:44" ht="94.5" customHeight="1">
      <c r="A129" s="416"/>
      <c r="B129" s="163" t="s">
        <v>3354</v>
      </c>
      <c r="C129" s="163" t="s">
        <v>3633</v>
      </c>
      <c r="D129" s="197" t="s">
        <v>312</v>
      </c>
      <c r="E129" s="163" t="s">
        <v>3354</v>
      </c>
      <c r="F129" s="164" t="str">
        <f t="shared" si="1"/>
        <v>hh_healthcare_pay_yes</v>
      </c>
      <c r="G129" s="172" t="s">
        <v>3634</v>
      </c>
      <c r="H129" s="173" t="s">
        <v>3485</v>
      </c>
      <c r="I129" s="241" t="s">
        <v>3635</v>
      </c>
      <c r="J129" s="197" t="s">
        <v>3636</v>
      </c>
      <c r="K129" s="335" t="str">
        <f>VLOOKUP(G129,[1]survey!$A:$D,3,FALSE)</f>
        <v>hh_healthcare_pay_yes</v>
      </c>
    </row>
    <row r="130" spans="1:44" ht="68.25" customHeight="1">
      <c r="A130" s="416"/>
      <c r="B130" s="163"/>
      <c r="C130" s="163" t="s">
        <v>3637</v>
      </c>
      <c r="D130" s="197" t="s">
        <v>312</v>
      </c>
      <c r="E130" s="163"/>
      <c r="F130" s="164" t="str">
        <f t="shared" si="1"/>
        <v>hh_payment_modality</v>
      </c>
      <c r="G130" s="172" t="s">
        <v>3638</v>
      </c>
      <c r="H130" s="173" t="s">
        <v>3357</v>
      </c>
      <c r="I130" s="241" t="s">
        <v>3639</v>
      </c>
      <c r="J130" s="197"/>
      <c r="K130" s="335" t="str">
        <f>VLOOKUP(G130,[1]survey!$A:$D,3,FALSE)</f>
        <v>hh_payment_modality</v>
      </c>
    </row>
    <row r="131" spans="1:44" ht="28.5" customHeight="1">
      <c r="A131" s="416"/>
      <c r="B131" s="163" t="s">
        <v>3354</v>
      </c>
      <c r="C131" s="350" t="s">
        <v>3640</v>
      </c>
      <c r="D131" s="197" t="s">
        <v>312</v>
      </c>
      <c r="E131" s="163" t="s">
        <v>3354</v>
      </c>
      <c r="F131" s="164" t="str">
        <f t="shared" si="1"/>
        <v>healthcare_payment_amount</v>
      </c>
      <c r="G131" s="172" t="s">
        <v>3641</v>
      </c>
      <c r="H131" s="173" t="s">
        <v>724</v>
      </c>
      <c r="I131" s="241" t="s">
        <v>724</v>
      </c>
      <c r="J131" s="197"/>
      <c r="K131" s="335" t="str">
        <f>VLOOKUP(G131,[1]survey!$A:$D,3,FALSE)</f>
        <v>healthcare_payment_amount</v>
      </c>
      <c r="L131" s="331" t="s">
        <v>3642</v>
      </c>
    </row>
    <row r="132" spans="1:44" ht="68.25" customHeight="1">
      <c r="A132" s="416"/>
      <c r="B132" s="163" t="s">
        <v>3354</v>
      </c>
      <c r="C132" s="163" t="s">
        <v>3643</v>
      </c>
      <c r="D132" s="197" t="s">
        <v>312</v>
      </c>
      <c r="E132" s="163" t="s">
        <v>3354</v>
      </c>
      <c r="F132" s="164" t="str">
        <f t="shared" ref="F132:F195" si="2">K132</f>
        <v>hh_beneficiary_cbhi</v>
      </c>
      <c r="G132" s="172" t="s">
        <v>3644</v>
      </c>
      <c r="H132" s="173" t="s">
        <v>3468</v>
      </c>
      <c r="I132" s="241" t="s">
        <v>3603</v>
      </c>
      <c r="J132" s="197"/>
      <c r="K132" s="335" t="str">
        <f>VLOOKUP(G132,[1]survey!$A:$D,3,FALSE)</f>
        <v>hh_beneficiary_cbhi</v>
      </c>
    </row>
    <row r="133" spans="1:44" ht="60.75" customHeight="1">
      <c r="A133" s="416"/>
      <c r="B133" s="163" t="s">
        <v>3354</v>
      </c>
      <c r="C133" s="163" t="s">
        <v>3645</v>
      </c>
      <c r="D133" s="197" t="s">
        <v>312</v>
      </c>
      <c r="E133" s="163" t="s">
        <v>3354</v>
      </c>
      <c r="F133" s="164" t="str">
        <f t="shared" si="2"/>
        <v>hh_free_health_services</v>
      </c>
      <c r="G133" s="197" t="s">
        <v>3646</v>
      </c>
      <c r="H133" s="204" t="s">
        <v>3377</v>
      </c>
      <c r="I133" s="265" t="s">
        <v>3603</v>
      </c>
      <c r="J133" s="197"/>
      <c r="K133" s="335" t="str">
        <f>VLOOKUP(G133,[1]survey!$A:$D,3,FALSE)</f>
        <v>hh_free_health_services</v>
      </c>
    </row>
    <row r="134" spans="1:44" ht="82.5" customHeight="1">
      <c r="A134" s="417"/>
      <c r="B134" s="230"/>
      <c r="C134" s="230" t="s">
        <v>3647</v>
      </c>
      <c r="D134" s="197" t="s">
        <v>312</v>
      </c>
      <c r="E134" s="230"/>
      <c r="F134" s="164" t="str">
        <f t="shared" si="2"/>
        <v>hh_free_health_services_yes</v>
      </c>
      <c r="G134" s="197" t="s">
        <v>3648</v>
      </c>
      <c r="H134" s="231" t="s">
        <v>3649</v>
      </c>
      <c r="I134" s="241" t="s">
        <v>3650</v>
      </c>
      <c r="J134" s="197"/>
      <c r="K134" s="335" t="str">
        <f>VLOOKUP(G134,[1]survey!$A:$D,3,FALSE)</f>
        <v>hh_free_health_services_yes</v>
      </c>
    </row>
    <row r="135" spans="1:44" ht="68.25" customHeight="1">
      <c r="A135" s="418"/>
      <c r="B135" s="182" t="s">
        <v>3651</v>
      </c>
      <c r="C135" s="182" t="s">
        <v>3652</v>
      </c>
      <c r="D135" s="197" t="s">
        <v>312</v>
      </c>
      <c r="E135" s="169"/>
      <c r="F135" s="164" t="str">
        <f t="shared" si="2"/>
        <v>disability_healthcare_access_difficultiy</v>
      </c>
      <c r="G135" s="175" t="s">
        <v>3653</v>
      </c>
      <c r="H135" s="176" t="s">
        <v>3485</v>
      </c>
      <c r="I135" s="269" t="s">
        <v>3654</v>
      </c>
      <c r="J135" s="297"/>
      <c r="K135" s="335" t="str">
        <f>VLOOKUP(G135,[1]survey!$A:$D,3,FALSE)</f>
        <v>disability_healthcare_access_difficultiy</v>
      </c>
      <c r="L135" s="331" t="s">
        <v>3655</v>
      </c>
    </row>
    <row r="136" spans="1:44" ht="170.25" customHeight="1">
      <c r="A136" s="419"/>
      <c r="B136" s="182"/>
      <c r="C136" s="349" t="s">
        <v>3656</v>
      </c>
      <c r="D136" s="197" t="s">
        <v>312</v>
      </c>
      <c r="E136" s="233" t="s">
        <v>3355</v>
      </c>
      <c r="F136" s="164" t="str">
        <f t="shared" si="2"/>
        <v>idp_healthcare_access_difficultiy</v>
      </c>
      <c r="G136" s="299" t="s">
        <v>3657</v>
      </c>
      <c r="H136" s="203" t="s">
        <v>3485</v>
      </c>
      <c r="I136" s="199" t="s">
        <v>3658</v>
      </c>
      <c r="J136" s="199" t="s">
        <v>3600</v>
      </c>
      <c r="K136" s="335" t="str">
        <f>VLOOKUP(G136,[1]survey!$A:$D,3,FALSE)</f>
        <v>idp_healthcare_access_difficultiy</v>
      </c>
      <c r="L136" s="331" t="s">
        <v>3659</v>
      </c>
    </row>
    <row r="137" spans="1:44" ht="57.75" customHeight="1">
      <c r="A137" s="303" t="s">
        <v>3445</v>
      </c>
      <c r="B137" s="182" t="s">
        <v>3660</v>
      </c>
      <c r="C137" s="349" t="s">
        <v>3661</v>
      </c>
      <c r="D137" s="265" t="s">
        <v>312</v>
      </c>
      <c r="E137" s="233" t="s">
        <v>3355</v>
      </c>
      <c r="F137" s="164" t="str">
        <f t="shared" si="2"/>
        <v>mental_healthcare_service</v>
      </c>
      <c r="G137" s="298" t="s">
        <v>3662</v>
      </c>
      <c r="H137" s="203" t="s">
        <v>3377</v>
      </c>
      <c r="I137" s="300" t="s">
        <v>3663</v>
      </c>
      <c r="J137" s="301"/>
      <c r="K137" s="335" t="str">
        <f>VLOOKUP(G137,[1]survey!$A:$D,3,FALSE)</f>
        <v>mental_healthcare_service</v>
      </c>
    </row>
    <row r="138" spans="1:44" ht="53.25" customHeight="1">
      <c r="A138" s="381" t="s">
        <v>3664</v>
      </c>
      <c r="B138" s="163" t="s">
        <v>3354</v>
      </c>
      <c r="C138" s="163" t="s">
        <v>3665</v>
      </c>
      <c r="D138" s="197" t="s">
        <v>312</v>
      </c>
      <c r="E138" s="164" t="s">
        <v>3355</v>
      </c>
      <c r="F138" s="164" t="str">
        <f t="shared" si="2"/>
        <v>hh_healthcare_information_level</v>
      </c>
      <c r="G138" s="172" t="s">
        <v>3666</v>
      </c>
      <c r="H138" s="167" t="s">
        <v>3377</v>
      </c>
      <c r="I138" s="319" t="s">
        <v>3546</v>
      </c>
      <c r="J138" s="172"/>
      <c r="K138" s="335" t="str">
        <f>VLOOKUP(G138,[1]survey!$A:$D,3,FALSE)</f>
        <v>hh_healthcare_information_level</v>
      </c>
      <c r="L138" s="332"/>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row>
    <row r="139" spans="1:44" ht="78">
      <c r="A139" s="382"/>
      <c r="B139" s="163" t="s">
        <v>3354</v>
      </c>
      <c r="C139" s="163" t="s">
        <v>3667</v>
      </c>
      <c r="D139" s="197" t="s">
        <v>312</v>
      </c>
      <c r="E139" s="164" t="s">
        <v>3355</v>
      </c>
      <c r="F139" s="164" t="s">
        <v>3852</v>
      </c>
      <c r="G139" s="197" t="s">
        <v>3548</v>
      </c>
      <c r="H139" s="173" t="s">
        <v>3406</v>
      </c>
      <c r="I139" s="319" t="s">
        <v>3549</v>
      </c>
      <c r="J139" s="172"/>
      <c r="K139" s="335" t="str">
        <f>VLOOKUP(G139,[1]survey!$A:$D,3,FALSE)</f>
        <v>received_information_no_accurte</v>
      </c>
      <c r="L139" s="332" t="s">
        <v>3668</v>
      </c>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row>
    <row r="140" spans="1:44" ht="117" customHeight="1">
      <c r="A140" s="382"/>
      <c r="B140" s="163" t="s">
        <v>3354</v>
      </c>
      <c r="C140" s="163" t="s">
        <v>3669</v>
      </c>
      <c r="D140" s="197" t="s">
        <v>312</v>
      </c>
      <c r="E140" s="164" t="s">
        <v>3355</v>
      </c>
      <c r="F140" s="164" t="str">
        <f t="shared" si="2"/>
        <v>hh_means_to_receive_healthcare_information</v>
      </c>
      <c r="G140" s="172" t="s">
        <v>3670</v>
      </c>
      <c r="H140" s="173" t="s">
        <v>3406</v>
      </c>
      <c r="I140" s="172" t="s">
        <v>3671</v>
      </c>
      <c r="J140" s="172"/>
      <c r="K140" s="335" t="str">
        <f>VLOOKUP(G140,[1]survey!$A:$D,3,FALSE)</f>
        <v>hh_means_to_receive_healthcare_information</v>
      </c>
      <c r="L140" s="329" t="s">
        <v>3672</v>
      </c>
    </row>
    <row r="141" spans="1:44" ht="123.65" customHeight="1">
      <c r="A141" s="383"/>
      <c r="B141" s="163" t="s">
        <v>3354</v>
      </c>
      <c r="C141" s="163" t="s">
        <v>3673</v>
      </c>
      <c r="D141" s="197" t="s">
        <v>312</v>
      </c>
      <c r="E141" s="164" t="s">
        <v>3355</v>
      </c>
      <c r="F141" s="164" t="str">
        <f t="shared" si="2"/>
        <v>receive_healthcare_information</v>
      </c>
      <c r="G141" s="172" t="s">
        <v>3674</v>
      </c>
      <c r="H141" s="173" t="s">
        <v>3406</v>
      </c>
      <c r="I141" s="172" t="s">
        <v>3675</v>
      </c>
      <c r="J141" s="172"/>
      <c r="K141" s="335" t="str">
        <f>VLOOKUP(G141,[1]survey!$A:$D,3,FALSE)</f>
        <v>receive_healthcare_information</v>
      </c>
    </row>
    <row r="142" spans="1:44" ht="139.5" customHeight="1">
      <c r="A142" s="420" t="s">
        <v>3557</v>
      </c>
      <c r="B142" s="223"/>
      <c r="C142" s="223" t="s">
        <v>3676</v>
      </c>
      <c r="D142" s="197" t="s">
        <v>312</v>
      </c>
      <c r="E142" s="224"/>
      <c r="F142" s="164" t="str">
        <f t="shared" si="2"/>
        <v>healthcare_improvement_needed</v>
      </c>
      <c r="G142" s="197" t="s">
        <v>3677</v>
      </c>
      <c r="H142" s="204" t="s">
        <v>3678</v>
      </c>
      <c r="I142" s="197" t="s">
        <v>3679</v>
      </c>
      <c r="J142" s="172"/>
      <c r="K142" s="335" t="str">
        <f>VLOOKUP(G142,[1]survey!$A:$D,3,FALSE)</f>
        <v>healthcare_improvement_needed</v>
      </c>
      <c r="L142" s="331" t="s">
        <v>3680</v>
      </c>
    </row>
    <row r="143" spans="1:44" ht="134.25" customHeight="1">
      <c r="A143" s="421"/>
      <c r="B143" s="223"/>
      <c r="C143" s="223" t="s">
        <v>3681</v>
      </c>
      <c r="D143" s="197" t="s">
        <v>312</v>
      </c>
      <c r="E143" s="224"/>
      <c r="F143" s="164" t="str">
        <f t="shared" si="2"/>
        <v>healthcare_improvement_needed2</v>
      </c>
      <c r="G143" s="197" t="s">
        <v>3682</v>
      </c>
      <c r="H143" s="204" t="s">
        <v>3678</v>
      </c>
      <c r="I143" s="197" t="s">
        <v>3679</v>
      </c>
      <c r="J143" s="172"/>
      <c r="K143" s="335" t="str">
        <f>VLOOKUP(G143,[1]survey!$A:$D,3,FALSE)</f>
        <v>healthcare_improvement_needed2</v>
      </c>
      <c r="L143" s="331" t="s">
        <v>3680</v>
      </c>
    </row>
    <row r="144" spans="1:44" ht="138.75" customHeight="1">
      <c r="A144" s="422"/>
      <c r="B144" s="223" t="s">
        <v>3354</v>
      </c>
      <c r="C144" s="223" t="s">
        <v>3683</v>
      </c>
      <c r="D144" s="197" t="s">
        <v>312</v>
      </c>
      <c r="E144" s="224" t="s">
        <v>3355</v>
      </c>
      <c r="F144" s="164" t="str">
        <f t="shared" si="2"/>
        <v>healthcare_improvement_needed3</v>
      </c>
      <c r="G144" s="197" t="s">
        <v>3684</v>
      </c>
      <c r="H144" s="204" t="s">
        <v>3678</v>
      </c>
      <c r="I144" s="197" t="s">
        <v>3679</v>
      </c>
      <c r="J144" s="172"/>
      <c r="K144" s="335" t="str">
        <f>VLOOKUP(G144,[1]survey!$A:$D,3,FALSE)</f>
        <v>healthcare_improvement_needed3</v>
      </c>
      <c r="L144" s="331" t="s">
        <v>3680</v>
      </c>
    </row>
    <row r="145" spans="1:12" ht="15" customHeight="1">
      <c r="A145" s="384" t="s">
        <v>3685</v>
      </c>
      <c r="B145" s="385"/>
      <c r="C145" s="385"/>
      <c r="D145" s="385"/>
      <c r="E145" s="385"/>
      <c r="F145" s="385"/>
      <c r="G145" s="385"/>
      <c r="H145" s="385"/>
      <c r="I145" s="385"/>
      <c r="J145" s="386"/>
      <c r="K145" s="335" t="str">
        <f>VLOOKUP(G145,[1]survey!$A:$D,3,FALSE)</f>
        <v>start</v>
      </c>
    </row>
    <row r="146" spans="1:12" ht="54.75" customHeight="1">
      <c r="A146" s="212" t="s">
        <v>3445</v>
      </c>
      <c r="B146" s="163"/>
      <c r="C146" s="163" t="s">
        <v>3686</v>
      </c>
      <c r="D146" s="265" t="s">
        <v>312</v>
      </c>
      <c r="E146" s="164" t="s">
        <v>3355</v>
      </c>
      <c r="F146" s="164" t="str">
        <f t="shared" si="2"/>
        <v>hh_required_nutrition_services</v>
      </c>
      <c r="G146" s="172" t="s">
        <v>3687</v>
      </c>
      <c r="H146" s="167" t="s">
        <v>3377</v>
      </c>
      <c r="I146" s="172" t="s">
        <v>3688</v>
      </c>
      <c r="J146" s="172"/>
      <c r="K146" s="335" t="str">
        <f>VLOOKUP(G146,[1]survey!$A:$D,3,FALSE)</f>
        <v>hh_required_nutrition_services</v>
      </c>
    </row>
    <row r="147" spans="1:12" ht="51" customHeight="1">
      <c r="A147" s="212" t="s">
        <v>3445</v>
      </c>
      <c r="B147" s="163" t="s">
        <v>3354</v>
      </c>
      <c r="C147" s="163" t="s">
        <v>3689</v>
      </c>
      <c r="D147" s="265" t="s">
        <v>312</v>
      </c>
      <c r="E147" s="164" t="s">
        <v>3355</v>
      </c>
      <c r="F147" s="164" t="str">
        <f t="shared" si="2"/>
        <v>hh_required_nutrition_services_yes</v>
      </c>
      <c r="G147" s="172" t="s">
        <v>3690</v>
      </c>
      <c r="H147" s="167" t="s">
        <v>3377</v>
      </c>
      <c r="I147" s="172" t="s">
        <v>3688</v>
      </c>
      <c r="J147" s="172"/>
      <c r="K147" s="335" t="str">
        <f>VLOOKUP(G147,[1]survey!$A:$D,3,FALSE)</f>
        <v>hh_required_nutrition_services_yes</v>
      </c>
    </row>
    <row r="148" spans="1:12" ht="104">
      <c r="A148" s="212" t="s">
        <v>3445</v>
      </c>
      <c r="B148" s="163" t="s">
        <v>3354</v>
      </c>
      <c r="C148" s="163" t="s">
        <v>3691</v>
      </c>
      <c r="D148" s="265" t="s">
        <v>312</v>
      </c>
      <c r="E148" s="164" t="s">
        <v>3355</v>
      </c>
      <c r="F148" s="164" t="str">
        <f t="shared" si="2"/>
        <v>nutrition_services_accessed</v>
      </c>
      <c r="G148" s="172" t="s">
        <v>3692</v>
      </c>
      <c r="H148" s="167" t="s">
        <v>3649</v>
      </c>
      <c r="I148" s="172" t="s">
        <v>3693</v>
      </c>
      <c r="J148" s="172"/>
      <c r="K148" s="335" t="str">
        <f>VLOOKUP(G148,[1]survey!$A:$D,3,FALSE)</f>
        <v>nutrition_services_accessed</v>
      </c>
    </row>
    <row r="149" spans="1:12" ht="14.5">
      <c r="A149" s="402" t="s">
        <v>161</v>
      </c>
      <c r="B149" s="403"/>
      <c r="C149" s="403"/>
      <c r="D149" s="403"/>
      <c r="E149" s="403"/>
      <c r="F149" s="403"/>
      <c r="G149" s="403"/>
      <c r="H149" s="403"/>
      <c r="I149" s="403"/>
      <c r="J149" s="404"/>
      <c r="K149" s="335" t="str">
        <f>VLOOKUP(G149,[1]survey!$A:$D,3,FALSE)</f>
        <v>start</v>
      </c>
    </row>
    <row r="150" spans="1:12" s="365" customFormat="1" ht="156">
      <c r="A150" s="361" t="s">
        <v>3445</v>
      </c>
      <c r="B150" s="338" t="s">
        <v>3354</v>
      </c>
      <c r="C150" s="338" t="s">
        <v>3694</v>
      </c>
      <c r="D150" s="338" t="s">
        <v>161</v>
      </c>
      <c r="E150" s="340" t="s">
        <v>3355</v>
      </c>
      <c r="F150" s="340" t="str">
        <f t="shared" si="2"/>
        <v>hh_education_level_attend</v>
      </c>
      <c r="G150" s="362" t="s">
        <v>3695</v>
      </c>
      <c r="H150" s="363" t="s">
        <v>3357</v>
      </c>
      <c r="I150" s="362" t="s">
        <v>3696</v>
      </c>
      <c r="J150" s="362" t="s">
        <v>3697</v>
      </c>
      <c r="K150" s="344" t="str">
        <f>VLOOKUP(G150,[1]survey!$A:$D,3,FALSE)</f>
        <v>hh_education_level_attend</v>
      </c>
      <c r="L150" s="364"/>
    </row>
    <row r="151" spans="1:12" ht="126" customHeight="1">
      <c r="A151" s="285" t="s">
        <v>3451</v>
      </c>
      <c r="B151" s="163" t="s">
        <v>3354</v>
      </c>
      <c r="C151" s="163" t="s">
        <v>3698</v>
      </c>
      <c r="D151" s="223" t="s">
        <v>161</v>
      </c>
      <c r="E151" s="164" t="s">
        <v>3355</v>
      </c>
      <c r="F151" s="164" t="str">
        <f t="shared" si="2"/>
        <v>education_facility_location</v>
      </c>
      <c r="G151" s="172" t="s">
        <v>3699</v>
      </c>
      <c r="H151" s="167" t="s">
        <v>3357</v>
      </c>
      <c r="I151" s="166" t="s">
        <v>3700</v>
      </c>
      <c r="J151" s="172" t="s">
        <v>3701</v>
      </c>
      <c r="K151" s="335" t="str">
        <f>VLOOKUP(G151,[1]survey!$A:$D,3,FALSE)</f>
        <v>education_facility_location</v>
      </c>
      <c r="L151" s="331" t="s">
        <v>3702</v>
      </c>
    </row>
    <row r="152" spans="1:12" ht="112.5" customHeight="1">
      <c r="A152" s="285" t="s">
        <v>3703</v>
      </c>
      <c r="B152" s="163" t="s">
        <v>3354</v>
      </c>
      <c r="C152" s="163" t="s">
        <v>3704</v>
      </c>
      <c r="D152" s="223" t="s">
        <v>161</v>
      </c>
      <c r="E152" s="164" t="s">
        <v>3355</v>
      </c>
      <c r="F152" s="164" t="str">
        <f t="shared" si="2"/>
        <v>education_facility_owner</v>
      </c>
      <c r="G152" s="197" t="s">
        <v>3705</v>
      </c>
      <c r="H152" s="173" t="s">
        <v>3377</v>
      </c>
      <c r="I152" s="172" t="s">
        <v>3599</v>
      </c>
      <c r="J152" s="172"/>
      <c r="K152" s="335" t="str">
        <f>VLOOKUP(G152,[1]survey!$A:$D,3,FALSE)</f>
        <v>education_facility_owner</v>
      </c>
    </row>
    <row r="153" spans="1:12" ht="84.75" customHeight="1">
      <c r="A153" s="372" t="s">
        <v>3471</v>
      </c>
      <c r="B153" s="234" t="s">
        <v>3354</v>
      </c>
      <c r="C153" s="234" t="s">
        <v>3706</v>
      </c>
      <c r="D153" s="223" t="s">
        <v>161</v>
      </c>
      <c r="E153" s="171" t="s">
        <v>3355</v>
      </c>
      <c r="F153" s="164" t="str">
        <f t="shared" si="2"/>
        <v>education_functionality_status</v>
      </c>
      <c r="G153" s="177" t="s">
        <v>3707</v>
      </c>
      <c r="H153" s="192" t="s">
        <v>3468</v>
      </c>
      <c r="I153" s="241" t="s">
        <v>3573</v>
      </c>
      <c r="J153" s="172"/>
      <c r="K153" s="335" t="str">
        <f>VLOOKUP(G153,[1]survey!$A:$D,3,FALSE)</f>
        <v>education_functionality_status</v>
      </c>
      <c r="L153" s="329" t="s">
        <v>3708</v>
      </c>
    </row>
    <row r="154" spans="1:12" ht="91">
      <c r="A154" s="373"/>
      <c r="B154" s="163" t="s">
        <v>3354</v>
      </c>
      <c r="C154" s="163" t="s">
        <v>3709</v>
      </c>
      <c r="D154" s="223" t="s">
        <v>161</v>
      </c>
      <c r="E154" s="164" t="s">
        <v>3355</v>
      </c>
      <c r="F154" s="164" t="str">
        <f t="shared" si="2"/>
        <v>education_functionality_status_no</v>
      </c>
      <c r="G154" s="172" t="s">
        <v>3710</v>
      </c>
      <c r="H154" s="173" t="s">
        <v>3491</v>
      </c>
      <c r="I154" s="241" t="s">
        <v>3711</v>
      </c>
      <c r="J154" s="172" t="s">
        <v>3712</v>
      </c>
      <c r="K154" s="335" t="str">
        <f>VLOOKUP(G154,[1]survey!$A:$D,3,FALSE)</f>
        <v>education_functionality_status_no</v>
      </c>
    </row>
    <row r="155" spans="1:12" ht="409.5">
      <c r="A155" s="208" t="s">
        <v>3587</v>
      </c>
      <c r="B155" s="163"/>
      <c r="C155" s="163" t="s">
        <v>3713</v>
      </c>
      <c r="D155" s="223" t="s">
        <v>161</v>
      </c>
      <c r="E155" s="164"/>
      <c r="F155" s="164" t="str">
        <f t="shared" si="2"/>
        <v>school_barriers</v>
      </c>
      <c r="G155" s="304" t="s">
        <v>3714</v>
      </c>
      <c r="H155" s="305" t="s">
        <v>3406</v>
      </c>
      <c r="I155" s="262" t="s">
        <v>3715</v>
      </c>
      <c r="J155" s="278"/>
      <c r="K155" s="335" t="str">
        <f>VLOOKUP(G155,[1]survey!$A:$D,3,FALSE)</f>
        <v>school_barriers</v>
      </c>
      <c r="L155" s="331" t="s">
        <v>3716</v>
      </c>
    </row>
    <row r="156" spans="1:12" ht="409.5">
      <c r="A156" s="379" t="s">
        <v>3587</v>
      </c>
      <c r="B156" s="219" t="s">
        <v>3354</v>
      </c>
      <c r="C156" s="335" t="s">
        <v>3717</v>
      </c>
      <c r="D156" s="223" t="s">
        <v>161</v>
      </c>
      <c r="E156" s="220" t="s">
        <v>3355</v>
      </c>
      <c r="F156" s="164" t="str">
        <f t="shared" si="2"/>
        <v>not_attending_reasons</v>
      </c>
      <c r="G156" s="242" t="s">
        <v>3718</v>
      </c>
      <c r="H156" s="200" t="s">
        <v>3406</v>
      </c>
      <c r="I156" s="270" t="s">
        <v>3719</v>
      </c>
      <c r="J156" s="172" t="s">
        <v>3720</v>
      </c>
      <c r="K156" s="335" t="str">
        <f>VLOOKUP(G156,[1]survey!$A:$D,3,FALSE)</f>
        <v>not_attending_reasons</v>
      </c>
      <c r="L156" s="331" t="s">
        <v>3721</v>
      </c>
    </row>
    <row r="157" spans="1:12" ht="409.5" customHeight="1">
      <c r="A157" s="380"/>
      <c r="B157" s="182" t="s">
        <v>3354</v>
      </c>
      <c r="C157" s="182" t="s">
        <v>3722</v>
      </c>
      <c r="D157" s="223" t="s">
        <v>161</v>
      </c>
      <c r="E157" s="169" t="s">
        <v>3355</v>
      </c>
      <c r="F157" s="164" t="str">
        <f t="shared" si="2"/>
        <v>dropout_reason</v>
      </c>
      <c r="G157" s="175" t="s">
        <v>3723</v>
      </c>
      <c r="H157" s="218" t="s">
        <v>3724</v>
      </c>
      <c r="I157" s="263" t="s">
        <v>3725</v>
      </c>
      <c r="J157" s="175" t="s">
        <v>3726</v>
      </c>
      <c r="K157" s="335" t="str">
        <f>VLOOKUP(G157,[1]survey!$A:$D,3,FALSE)</f>
        <v>dropout_reason</v>
      </c>
      <c r="L157" s="331" t="s">
        <v>3727</v>
      </c>
    </row>
    <row r="158" spans="1:12" ht="48" customHeight="1">
      <c r="A158" s="372" t="s">
        <v>3557</v>
      </c>
      <c r="B158" s="163"/>
      <c r="C158" s="163" t="s">
        <v>3728</v>
      </c>
      <c r="D158" s="223" t="s">
        <v>161</v>
      </c>
      <c r="E158" s="164"/>
      <c r="F158" s="164" t="str">
        <f t="shared" si="2"/>
        <v>educ_services_improvement</v>
      </c>
      <c r="G158" s="287" t="s">
        <v>3729</v>
      </c>
      <c r="H158" s="173" t="s">
        <v>3377</v>
      </c>
      <c r="I158" s="172" t="s">
        <v>3730</v>
      </c>
      <c r="J158" s="172"/>
      <c r="K158" s="335" t="str">
        <f>VLOOKUP(G158,[1]survey!$A:$D,3,FALSE)</f>
        <v>educ_services_improvement</v>
      </c>
      <c r="L158" s="331" t="s">
        <v>3731</v>
      </c>
    </row>
    <row r="159" spans="1:12" ht="143">
      <c r="A159" s="373"/>
      <c r="B159" s="163"/>
      <c r="C159" s="163" t="s">
        <v>3732</v>
      </c>
      <c r="D159" s="223" t="s">
        <v>161</v>
      </c>
      <c r="E159" s="164"/>
      <c r="F159" s="164" t="str">
        <f t="shared" si="2"/>
        <v>educ_services_improvement2</v>
      </c>
      <c r="G159" s="287" t="s">
        <v>3733</v>
      </c>
      <c r="H159" s="173" t="s">
        <v>3377</v>
      </c>
      <c r="I159" s="172" t="s">
        <v>3730</v>
      </c>
      <c r="J159" s="172"/>
      <c r="K159" s="335" t="str">
        <f>VLOOKUP(G159,[1]survey!$A:$D,3,FALSE)</f>
        <v>educ_services_improvement2</v>
      </c>
      <c r="L159" s="331" t="s">
        <v>3731</v>
      </c>
    </row>
    <row r="160" spans="1:12" ht="143">
      <c r="A160" s="374"/>
      <c r="B160" s="163"/>
      <c r="C160" s="163" t="s">
        <v>3734</v>
      </c>
      <c r="D160" s="223" t="s">
        <v>161</v>
      </c>
      <c r="E160" s="164"/>
      <c r="F160" s="164" t="str">
        <f t="shared" si="2"/>
        <v>educ_services_improvement3</v>
      </c>
      <c r="G160" s="287" t="s">
        <v>3735</v>
      </c>
      <c r="H160" s="173" t="s">
        <v>3377</v>
      </c>
      <c r="I160" s="172" t="s">
        <v>3736</v>
      </c>
      <c r="J160" s="172"/>
      <c r="K160" s="335" t="str">
        <f>VLOOKUP(G160,[1]survey!$A:$D,3,FALSE)</f>
        <v>educ_services_improvement3</v>
      </c>
      <c r="L160" s="331" t="s">
        <v>3731</v>
      </c>
    </row>
    <row r="161" spans="1:12" ht="58.5" customHeight="1">
      <c r="A161" s="393" t="s">
        <v>3664</v>
      </c>
      <c r="B161" s="163"/>
      <c r="C161" s="163" t="s">
        <v>3737</v>
      </c>
      <c r="D161" s="223" t="s">
        <v>161</v>
      </c>
      <c r="E161" s="164"/>
      <c r="F161" s="164" t="str">
        <f t="shared" si="2"/>
        <v>information_about_education_availability</v>
      </c>
      <c r="G161" s="278" t="s">
        <v>3738</v>
      </c>
      <c r="H161" s="167" t="s">
        <v>3377</v>
      </c>
      <c r="I161" s="319" t="s">
        <v>3546</v>
      </c>
      <c r="J161" s="172"/>
      <c r="K161" s="335" t="str">
        <f>VLOOKUP(G161,[1]survey!$A:$D,3,FALSE)</f>
        <v>information_about_education_availability</v>
      </c>
    </row>
    <row r="162" spans="1:12" ht="58.5" customHeight="1">
      <c r="A162" s="394"/>
      <c r="B162" s="163"/>
      <c r="C162" s="163" t="s">
        <v>3739</v>
      </c>
      <c r="D162" s="223" t="s">
        <v>161</v>
      </c>
      <c r="E162" s="164"/>
      <c r="F162" s="164" t="s">
        <v>3851</v>
      </c>
      <c r="G162" s="311" t="s">
        <v>3548</v>
      </c>
      <c r="H162" s="173" t="s">
        <v>3406</v>
      </c>
      <c r="I162" s="319" t="s">
        <v>3549</v>
      </c>
      <c r="J162" s="197"/>
      <c r="K162" s="335" t="str">
        <f>VLOOKUP(G162,[1]survey!$A:$D,3,FALSE)</f>
        <v>received_information_no_accurte</v>
      </c>
    </row>
    <row r="163" spans="1:12" ht="81" customHeight="1">
      <c r="A163" s="394"/>
      <c r="B163" s="163"/>
      <c r="C163" s="163" t="s">
        <v>3740</v>
      </c>
      <c r="D163" s="223" t="s">
        <v>161</v>
      </c>
      <c r="E163" s="164"/>
      <c r="F163" s="164" t="str">
        <f t="shared" si="2"/>
        <v>educ_information_reveived_way</v>
      </c>
      <c r="G163" s="278" t="s">
        <v>3741</v>
      </c>
      <c r="H163" s="173" t="s">
        <v>3742</v>
      </c>
      <c r="I163" s="278" t="s">
        <v>3743</v>
      </c>
      <c r="J163" s="172"/>
      <c r="K163" s="335" t="str">
        <f>VLOOKUP(G163,[1]survey!$A:$D,3,FALSE)</f>
        <v>educ_information_reveived_way</v>
      </c>
      <c r="L163" s="331" t="s">
        <v>3744</v>
      </c>
    </row>
    <row r="164" spans="1:12" ht="65.5">
      <c r="A164" s="395"/>
      <c r="B164" s="163" t="s">
        <v>3354</v>
      </c>
      <c r="C164" s="163" t="s">
        <v>3745</v>
      </c>
      <c r="D164" s="223" t="s">
        <v>161</v>
      </c>
      <c r="E164" s="164" t="s">
        <v>3355</v>
      </c>
      <c r="F164" s="164" t="str">
        <f t="shared" si="2"/>
        <v>educ_information_reveived_future</v>
      </c>
      <c r="G164" s="278" t="s">
        <v>3746</v>
      </c>
      <c r="H164" s="173" t="s">
        <v>3742</v>
      </c>
      <c r="I164" s="311" t="s">
        <v>3747</v>
      </c>
      <c r="J164" s="172"/>
      <c r="K164" s="335" t="str">
        <f>VLOOKUP(G164,[1]survey!$A:$D,3,FALSE)</f>
        <v>educ_information_reveived_future</v>
      </c>
      <c r="L164" s="331" t="s">
        <v>3748</v>
      </c>
    </row>
    <row r="165" spans="1:12" s="30" customFormat="1" ht="16">
      <c r="A165" s="390" t="s">
        <v>3749</v>
      </c>
      <c r="B165" s="391"/>
      <c r="C165" s="391"/>
      <c r="D165" s="391"/>
      <c r="E165" s="391"/>
      <c r="F165" s="391"/>
      <c r="G165" s="391"/>
      <c r="H165" s="391"/>
      <c r="I165" s="391"/>
      <c r="J165" s="392"/>
      <c r="K165" s="335" t="str">
        <f>VLOOKUP(G165,[1]survey!$A:$D,3,FALSE)</f>
        <v>start</v>
      </c>
      <c r="L165" s="332"/>
    </row>
    <row r="166" spans="1:12" s="30" customFormat="1" ht="144">
      <c r="A166" s="295" t="s">
        <v>3750</v>
      </c>
      <c r="B166" s="282" t="s">
        <v>3354</v>
      </c>
      <c r="C166" s="282" t="s">
        <v>3751</v>
      </c>
      <c r="D166" s="284" t="s">
        <v>3844</v>
      </c>
      <c r="E166" s="279" t="s">
        <v>3355</v>
      </c>
      <c r="F166" s="164" t="str">
        <f t="shared" si="2"/>
        <v>hh_exposed_to_hazards</v>
      </c>
      <c r="G166" s="214" t="s">
        <v>3752</v>
      </c>
      <c r="H166" s="168" t="s">
        <v>3406</v>
      </c>
      <c r="I166" s="216" t="s">
        <v>3753</v>
      </c>
      <c r="J166" s="196"/>
      <c r="K166" s="335" t="str">
        <f>VLOOKUP(G166,[1]survey!$A:$D,3,FALSE)</f>
        <v>hh_exposed_to_hazards</v>
      </c>
      <c r="L166" s="331" t="s">
        <v>3754</v>
      </c>
    </row>
    <row r="167" spans="1:12" s="30" customFormat="1" ht="64">
      <c r="A167" s="295" t="s">
        <v>3750</v>
      </c>
      <c r="B167" s="282" t="s">
        <v>3354</v>
      </c>
      <c r="C167" s="282" t="s">
        <v>3755</v>
      </c>
      <c r="D167" s="284" t="s">
        <v>3844</v>
      </c>
      <c r="E167" s="279" t="s">
        <v>3355</v>
      </c>
      <c r="F167" s="164" t="str">
        <f t="shared" si="2"/>
        <v>exposed_to_flood_yes</v>
      </c>
      <c r="G167" s="214" t="s">
        <v>3756</v>
      </c>
      <c r="H167" s="168" t="s">
        <v>3357</v>
      </c>
      <c r="I167" s="216" t="s">
        <v>3757</v>
      </c>
      <c r="J167" s="196"/>
      <c r="K167" s="335" t="str">
        <f>VLOOKUP(G167,[1]survey!$A:$D,3,FALSE)</f>
        <v>exposed_to_flood_yes</v>
      </c>
      <c r="L167" s="332"/>
    </row>
    <row r="168" spans="1:12" s="30" customFormat="1" ht="51" customHeight="1">
      <c r="A168" s="295" t="s">
        <v>3750</v>
      </c>
      <c r="B168" s="282" t="s">
        <v>3354</v>
      </c>
      <c r="C168" s="282" t="s">
        <v>3758</v>
      </c>
      <c r="D168" s="284" t="s">
        <v>3844</v>
      </c>
      <c r="E168" s="279" t="s">
        <v>3355</v>
      </c>
      <c r="F168" s="164" t="str">
        <f t="shared" si="2"/>
        <v>flood_exposed_sector</v>
      </c>
      <c r="G168" s="214" t="s">
        <v>3759</v>
      </c>
      <c r="H168" s="168" t="s">
        <v>3406</v>
      </c>
      <c r="I168" s="216" t="s">
        <v>3760</v>
      </c>
      <c r="J168" s="196" t="s">
        <v>3761</v>
      </c>
      <c r="K168" s="335" t="str">
        <f>VLOOKUP(G168,[1]survey!$A:$D,3,FALSE)</f>
        <v>flood_exposed_sector</v>
      </c>
      <c r="L168" s="332" t="s">
        <v>3762</v>
      </c>
    </row>
    <row r="169" spans="1:12" s="30" customFormat="1" ht="96">
      <c r="A169" s="295" t="s">
        <v>3750</v>
      </c>
      <c r="B169" s="282" t="s">
        <v>3354</v>
      </c>
      <c r="C169" s="282" t="s">
        <v>3763</v>
      </c>
      <c r="D169" s="284" t="s">
        <v>3844</v>
      </c>
      <c r="E169" s="279" t="s">
        <v>3355</v>
      </c>
      <c r="F169" s="164" t="str">
        <f t="shared" si="2"/>
        <v>flood_impacted_access_to_services</v>
      </c>
      <c r="G169" s="288" t="s">
        <v>3764</v>
      </c>
      <c r="H169" s="168" t="s">
        <v>3406</v>
      </c>
      <c r="I169" s="214" t="s">
        <v>3765</v>
      </c>
      <c r="J169" s="196" t="s">
        <v>3415</v>
      </c>
      <c r="K169" s="335" t="str">
        <f>VLOOKUP(G169,[1]survey!$A:$D,3,FALSE)</f>
        <v>flood_impacted_access_to_services</v>
      </c>
      <c r="L169" s="333" t="s">
        <v>3766</v>
      </c>
    </row>
    <row r="170" spans="1:12" ht="75" customHeight="1">
      <c r="A170" s="387" t="s">
        <v>3767</v>
      </c>
      <c r="B170" s="388"/>
      <c r="C170" s="388"/>
      <c r="D170" s="388"/>
      <c r="E170" s="388"/>
      <c r="F170" s="388"/>
      <c r="G170" s="388"/>
      <c r="H170" s="388"/>
      <c r="I170" s="388"/>
      <c r="J170" s="389"/>
      <c r="K170" s="335" t="str">
        <f>VLOOKUP(G170,[1]survey!$A:$D,3,FALSE)</f>
        <v>start</v>
      </c>
      <c r="L170" s="331" t="s">
        <v>3768</v>
      </c>
    </row>
    <row r="171" spans="1:12" ht="45" customHeight="1">
      <c r="A171" s="256"/>
      <c r="B171" s="163" t="s">
        <v>3354</v>
      </c>
      <c r="C171" s="163"/>
      <c r="D171" s="223" t="s">
        <v>88</v>
      </c>
      <c r="E171" s="164" t="s">
        <v>3355</v>
      </c>
      <c r="F171" s="164" t="e">
        <f t="shared" si="2"/>
        <v>#N/A</v>
      </c>
      <c r="G171" s="166" t="s">
        <v>3356</v>
      </c>
      <c r="H171" s="257"/>
      <c r="I171" s="257"/>
      <c r="J171" s="257"/>
      <c r="K171" s="335" t="e">
        <f>VLOOKUP(G171,[1]survey!$A:$D,3,FALSE)</f>
        <v>#N/A</v>
      </c>
    </row>
    <row r="172" spans="1:12" ht="267" customHeight="1">
      <c r="A172" s="291" t="s">
        <v>3587</v>
      </c>
      <c r="B172" s="282" t="s">
        <v>3354</v>
      </c>
      <c r="C172" s="282" t="s">
        <v>3769</v>
      </c>
      <c r="D172" s="223" t="s">
        <v>88</v>
      </c>
      <c r="E172" s="279" t="s">
        <v>3355</v>
      </c>
      <c r="F172" s="164" t="str">
        <f t="shared" si="2"/>
        <v>fem_health_fac_access_barriers</v>
      </c>
      <c r="G172" s="212" t="s">
        <v>3770</v>
      </c>
      <c r="H172" s="282" t="s">
        <v>3406</v>
      </c>
      <c r="I172" s="292" t="s">
        <v>3771</v>
      </c>
      <c r="J172" s="279"/>
      <c r="K172" s="335" t="str">
        <f>VLOOKUP(G172,[1]survey!$A:$D,3,FALSE)</f>
        <v>fem_health_fac_access_barriers</v>
      </c>
    </row>
    <row r="173" spans="1:12" ht="64.5" customHeight="1">
      <c r="A173" s="291" t="s">
        <v>3772</v>
      </c>
      <c r="B173" s="282" t="s">
        <v>3354</v>
      </c>
      <c r="C173" s="282" t="s">
        <v>3773</v>
      </c>
      <c r="D173" s="223" t="s">
        <v>88</v>
      </c>
      <c r="E173" s="279" t="s">
        <v>3355</v>
      </c>
      <c r="F173" s="164" t="str">
        <f t="shared" si="2"/>
        <v>fem_unable_seek_health_cult_barriers</v>
      </c>
      <c r="G173" s="212" t="s">
        <v>3774</v>
      </c>
      <c r="H173" s="282" t="s">
        <v>3377</v>
      </c>
      <c r="I173" s="286" t="s">
        <v>3603</v>
      </c>
      <c r="J173" s="279"/>
      <c r="K173" s="335" t="str">
        <f>VLOOKUP(G173,[1]survey!$A:$D,3,FALSE)</f>
        <v>fem_unable_seek_health_cult_barriers</v>
      </c>
    </row>
    <row r="174" spans="1:12" ht="303.75" customHeight="1">
      <c r="A174" s="291" t="s">
        <v>3775</v>
      </c>
      <c r="B174" s="282" t="s">
        <v>3354</v>
      </c>
      <c r="C174" s="282" t="s">
        <v>3776</v>
      </c>
      <c r="D174" s="223" t="s">
        <v>88</v>
      </c>
      <c r="E174" s="279" t="s">
        <v>3355</v>
      </c>
      <c r="F174" s="164" t="str">
        <f t="shared" si="2"/>
        <v>fem_unable_seek_health_cult_barriers_yes</v>
      </c>
      <c r="G174" s="212" t="s">
        <v>3777</v>
      </c>
      <c r="H174" s="282" t="s">
        <v>3406</v>
      </c>
      <c r="I174" s="286" t="s">
        <v>3778</v>
      </c>
      <c r="J174" s="279"/>
      <c r="K174" s="335" t="str">
        <f>VLOOKUP(G174,[1]survey!$A:$D,3,FALSE)</f>
        <v>fem_unable_seek_health_cult_barriers_yes</v>
      </c>
      <c r="L174" s="331" t="s">
        <v>3779</v>
      </c>
    </row>
    <row r="175" spans="1:12" ht="70.5" customHeight="1">
      <c r="A175" s="372" t="s">
        <v>3543</v>
      </c>
      <c r="B175" s="282" t="s">
        <v>3354</v>
      </c>
      <c r="C175" s="282" t="s">
        <v>3780</v>
      </c>
      <c r="D175" s="223" t="s">
        <v>88</v>
      </c>
      <c r="E175" s="279" t="s">
        <v>3355</v>
      </c>
      <c r="F175" s="164" t="str">
        <f t="shared" si="2"/>
        <v>aware_of_health_services</v>
      </c>
      <c r="G175" s="293" t="s">
        <v>3781</v>
      </c>
      <c r="H175" s="284" t="s">
        <v>3377</v>
      </c>
      <c r="I175" s="294" t="s">
        <v>3631</v>
      </c>
      <c r="J175" s="279"/>
      <c r="K175" s="335" t="str">
        <f>VLOOKUP(G175,[1]survey!$A:$D,3,FALSE)</f>
        <v>aware_of_health_services</v>
      </c>
    </row>
    <row r="176" spans="1:12" ht="106.5" customHeight="1">
      <c r="A176" s="373"/>
      <c r="B176" s="282" t="s">
        <v>3354</v>
      </c>
      <c r="C176" s="282" t="s">
        <v>3782</v>
      </c>
      <c r="D176" s="223" t="s">
        <v>88</v>
      </c>
      <c r="E176" s="279" t="s">
        <v>3355</v>
      </c>
      <c r="F176" s="164" t="str">
        <f t="shared" si="2"/>
        <v>aware_of_health_services_yes</v>
      </c>
      <c r="G176" s="212" t="s">
        <v>3783</v>
      </c>
      <c r="H176" s="282" t="s">
        <v>3406</v>
      </c>
      <c r="I176" s="286" t="s">
        <v>3784</v>
      </c>
      <c r="J176" s="279"/>
      <c r="K176" s="335" t="str">
        <f>VLOOKUP(G176,[1]survey!$A:$D,3,FALSE)</f>
        <v>aware_of_health_services_yes</v>
      </c>
    </row>
    <row r="177" spans="1:12" ht="136.5" customHeight="1">
      <c r="A177" s="374"/>
      <c r="B177" s="282" t="s">
        <v>3354</v>
      </c>
      <c r="C177" s="282" t="s">
        <v>3785</v>
      </c>
      <c r="D177" s="223" t="s">
        <v>88</v>
      </c>
      <c r="E177" s="279" t="s">
        <v>3355</v>
      </c>
      <c r="F177" s="164" t="str">
        <f t="shared" si="2"/>
        <v>aware_of_health_services_no</v>
      </c>
      <c r="G177" s="212" t="s">
        <v>3786</v>
      </c>
      <c r="H177" s="282" t="s">
        <v>3406</v>
      </c>
      <c r="I177" s="292" t="s">
        <v>3787</v>
      </c>
      <c r="J177" s="320"/>
      <c r="K177" s="335" t="str">
        <f>VLOOKUP(G177,[1]survey!$A:$D,3,FALSE)</f>
        <v>aware_of_health_services_no</v>
      </c>
      <c r="L177" s="334"/>
    </row>
    <row r="178" spans="1:12" ht="73.5" customHeight="1">
      <c r="A178" s="259" t="s">
        <v>3587</v>
      </c>
      <c r="B178" s="243" t="s">
        <v>3354</v>
      </c>
      <c r="C178" s="243" t="s">
        <v>3788</v>
      </c>
      <c r="D178" s="223" t="s">
        <v>88</v>
      </c>
      <c r="E178" s="250" t="s">
        <v>3355</v>
      </c>
      <c r="F178" s="164" t="str">
        <f t="shared" si="2"/>
        <v>safety_security_risks</v>
      </c>
      <c r="G178" s="289" t="s">
        <v>3789</v>
      </c>
      <c r="H178" s="290" t="s">
        <v>3377</v>
      </c>
      <c r="I178" s="271" t="s">
        <v>3631</v>
      </c>
      <c r="J178" s="279"/>
      <c r="K178" s="335" t="str">
        <f>VLOOKUP(G178,[1]survey!$A:$D,3,FALSE)</f>
        <v>safety_security_risks</v>
      </c>
    </row>
    <row r="179" spans="1:12" ht="246.5">
      <c r="A179" s="259" t="s">
        <v>3587</v>
      </c>
      <c r="B179" s="245" t="s">
        <v>3354</v>
      </c>
      <c r="C179" s="245" t="s">
        <v>3790</v>
      </c>
      <c r="D179" s="223" t="s">
        <v>88</v>
      </c>
      <c r="E179" s="244" t="s">
        <v>3355</v>
      </c>
      <c r="F179" s="164" t="str">
        <f t="shared" si="2"/>
        <v>safety_security_risks_yes</v>
      </c>
      <c r="G179" s="251" t="s">
        <v>3791</v>
      </c>
      <c r="H179" s="252" t="s">
        <v>3406</v>
      </c>
      <c r="I179" s="275" t="s">
        <v>3792</v>
      </c>
      <c r="J179" s="279"/>
      <c r="K179" s="335" t="str">
        <f>VLOOKUP(G179,[1]survey!$A:$D,3,FALSE)</f>
        <v>safety_security_risks_yes</v>
      </c>
    </row>
    <row r="180" spans="1:12" ht="66.75" customHeight="1">
      <c r="A180" s="375" t="s">
        <v>3543</v>
      </c>
      <c r="B180" s="210" t="s">
        <v>3354</v>
      </c>
      <c r="C180" s="210" t="s">
        <v>3793</v>
      </c>
      <c r="D180" s="223" t="s">
        <v>88</v>
      </c>
      <c r="E180" s="174" t="s">
        <v>3355</v>
      </c>
      <c r="F180" s="164" t="str">
        <f t="shared" si="2"/>
        <v>sgbv_services</v>
      </c>
      <c r="G180" s="221" t="s">
        <v>3794</v>
      </c>
      <c r="H180" s="247" t="s">
        <v>3377</v>
      </c>
      <c r="I180" s="276" t="s">
        <v>3795</v>
      </c>
      <c r="J180" s="172" t="s">
        <v>3796</v>
      </c>
      <c r="K180" s="335" t="str">
        <f>VLOOKUP(G180,[1]survey!$A:$D,3,FALSE)</f>
        <v>sgbv_services</v>
      </c>
    </row>
    <row r="181" spans="1:12" ht="52">
      <c r="A181" s="376"/>
      <c r="B181" s="210" t="s">
        <v>3354</v>
      </c>
      <c r="C181" s="210" t="s">
        <v>3797</v>
      </c>
      <c r="D181" s="223" t="s">
        <v>88</v>
      </c>
      <c r="E181" s="174" t="s">
        <v>3355</v>
      </c>
      <c r="F181" s="164" t="str">
        <f t="shared" si="2"/>
        <v>sgbv_services_info</v>
      </c>
      <c r="G181" s="306" t="s">
        <v>3798</v>
      </c>
      <c r="H181" s="307" t="s">
        <v>3377</v>
      </c>
      <c r="I181" s="308" t="s">
        <v>3799</v>
      </c>
      <c r="J181" s="172" t="s">
        <v>3796</v>
      </c>
      <c r="K181" s="335" t="str">
        <f>VLOOKUP(G181,[1]survey!$A:$D,3,FALSE)</f>
        <v>sgbv_services_info</v>
      </c>
    </row>
    <row r="182" spans="1:12" ht="153" customHeight="1">
      <c r="A182" s="377"/>
      <c r="B182" s="245" t="s">
        <v>3354</v>
      </c>
      <c r="C182" s="245" t="s">
        <v>3800</v>
      </c>
      <c r="D182" s="223" t="s">
        <v>88</v>
      </c>
      <c r="E182" s="244" t="s">
        <v>3355</v>
      </c>
      <c r="F182" s="164" t="str">
        <f t="shared" si="2"/>
        <v>sgbv_services_info2</v>
      </c>
      <c r="G182" s="309" t="s">
        <v>3801</v>
      </c>
      <c r="H182" s="245" t="s">
        <v>3406</v>
      </c>
      <c r="I182" s="272" t="s">
        <v>3675</v>
      </c>
      <c r="J182" s="279"/>
      <c r="K182" s="335" t="str">
        <f>VLOOKUP(G182,[1]survey!$A:$D,3,FALSE)</f>
        <v>sgbv_services_info2</v>
      </c>
      <c r="L182" s="331" t="s">
        <v>3802</v>
      </c>
    </row>
    <row r="183" spans="1:12" ht="217.5" customHeight="1">
      <c r="A183" s="259" t="s">
        <v>3587</v>
      </c>
      <c r="B183" s="245" t="s">
        <v>3354</v>
      </c>
      <c r="C183" s="245" t="s">
        <v>3803</v>
      </c>
      <c r="D183" s="223" t="s">
        <v>88</v>
      </c>
      <c r="E183" s="244" t="s">
        <v>3355</v>
      </c>
      <c r="F183" s="164" t="str">
        <f t="shared" si="2"/>
        <v>educ_facility_barriers</v>
      </c>
      <c r="G183" s="232" t="s">
        <v>3804</v>
      </c>
      <c r="H183" s="245" t="s">
        <v>3406</v>
      </c>
      <c r="I183" s="274" t="s">
        <v>3805</v>
      </c>
      <c r="J183" s="279"/>
      <c r="K183" s="335" t="str">
        <f>VLOOKUP(G183,[1]survey!$A:$D,3,FALSE)</f>
        <v>educ_facility_barriers</v>
      </c>
      <c r="L183" s="331" t="s">
        <v>3806</v>
      </c>
    </row>
    <row r="184" spans="1:12" ht="61.5" customHeight="1">
      <c r="A184" s="302" t="s">
        <v>3772</v>
      </c>
      <c r="B184" s="245" t="s">
        <v>3354</v>
      </c>
      <c r="C184" s="245" t="s">
        <v>3807</v>
      </c>
      <c r="D184" s="223" t="s">
        <v>88</v>
      </c>
      <c r="E184" s="244" t="s">
        <v>3355</v>
      </c>
      <c r="F184" s="164" t="str">
        <f t="shared" si="2"/>
        <v>cultural_barriers_edu</v>
      </c>
      <c r="G184" s="232" t="s">
        <v>3808</v>
      </c>
      <c r="H184" s="245" t="s">
        <v>3377</v>
      </c>
      <c r="I184" s="272" t="s">
        <v>3631</v>
      </c>
      <c r="J184" s="279"/>
      <c r="K184" s="335" t="str">
        <f>VLOOKUP(G184,[1]survey!$A:$D,3,FALSE)</f>
        <v>cultural_barriers_edu</v>
      </c>
    </row>
    <row r="185" spans="1:12" ht="72.75" customHeight="1">
      <c r="A185" s="368" t="s">
        <v>3543</v>
      </c>
      <c r="B185" s="245" t="s">
        <v>3354</v>
      </c>
      <c r="C185" s="245" t="s">
        <v>3809</v>
      </c>
      <c r="D185" s="223" t="s">
        <v>88</v>
      </c>
      <c r="E185" s="244" t="s">
        <v>3355</v>
      </c>
      <c r="F185" s="164" t="str">
        <f t="shared" si="2"/>
        <v>education_services_info</v>
      </c>
      <c r="G185" s="255" t="s">
        <v>3810</v>
      </c>
      <c r="H185" s="249" t="s">
        <v>3377</v>
      </c>
      <c r="I185" s="273" t="s">
        <v>3631</v>
      </c>
      <c r="J185" s="279"/>
      <c r="K185" s="335" t="str">
        <f>VLOOKUP(G185,[1]survey!$A:$D,3,FALSE)</f>
        <v>education_services_info</v>
      </c>
    </row>
    <row r="186" spans="1:12" ht="116">
      <c r="A186" s="369"/>
      <c r="B186" s="245" t="s">
        <v>3354</v>
      </c>
      <c r="C186" s="245" t="s">
        <v>3811</v>
      </c>
      <c r="D186" s="223" t="s">
        <v>88</v>
      </c>
      <c r="E186" s="244" t="s">
        <v>3355</v>
      </c>
      <c r="F186" s="164" t="s">
        <v>3847</v>
      </c>
      <c r="G186" s="232" t="s">
        <v>3783</v>
      </c>
      <c r="H186" s="245" t="s">
        <v>3406</v>
      </c>
      <c r="I186" s="272" t="s">
        <v>3812</v>
      </c>
      <c r="J186" s="279"/>
      <c r="K186" s="335" t="str">
        <f>VLOOKUP(G186,[1]survey!$A:$D,3,FALSE)</f>
        <v>aware_of_health_services_yes</v>
      </c>
      <c r="L186" s="331" t="s">
        <v>3813</v>
      </c>
    </row>
    <row r="187" spans="1:12" ht="123" customHeight="1">
      <c r="A187" s="370"/>
      <c r="B187" s="245" t="s">
        <v>3354</v>
      </c>
      <c r="C187" s="245" t="s">
        <v>3814</v>
      </c>
      <c r="D187" s="223" t="s">
        <v>88</v>
      </c>
      <c r="E187" s="244" t="s">
        <v>3355</v>
      </c>
      <c r="F187" s="164" t="s">
        <v>3848</v>
      </c>
      <c r="G187" s="232" t="s">
        <v>3786</v>
      </c>
      <c r="H187" s="243" t="s">
        <v>3406</v>
      </c>
      <c r="I187" s="274" t="s">
        <v>3815</v>
      </c>
      <c r="J187" s="320"/>
      <c r="K187" s="335" t="str">
        <f>VLOOKUP(G187,[1]survey!$A:$D,3,FALSE)</f>
        <v>aware_of_health_services_no</v>
      </c>
      <c r="L187" s="334"/>
    </row>
    <row r="188" spans="1:12" ht="74.25" customHeight="1">
      <c r="A188" s="366" t="s">
        <v>3587</v>
      </c>
      <c r="B188" s="245" t="s">
        <v>3354</v>
      </c>
      <c r="C188" s="245" t="s">
        <v>3816</v>
      </c>
      <c r="D188" s="223" t="s">
        <v>88</v>
      </c>
      <c r="E188" s="244" t="s">
        <v>3355</v>
      </c>
      <c r="F188" s="164" t="str">
        <f t="shared" si="2"/>
        <v>education_security_risks</v>
      </c>
      <c r="G188" s="248" t="s">
        <v>3817</v>
      </c>
      <c r="H188" s="249" t="s">
        <v>3377</v>
      </c>
      <c r="I188" s="274" t="s">
        <v>3631</v>
      </c>
      <c r="J188" s="279"/>
      <c r="K188" s="335" t="str">
        <f>VLOOKUP(G188,[1]survey!$A:$D,3,FALSE)</f>
        <v>education_security_risks</v>
      </c>
    </row>
    <row r="189" spans="1:12" ht="270" customHeight="1">
      <c r="A189" s="371"/>
      <c r="B189" s="245" t="s">
        <v>3354</v>
      </c>
      <c r="C189" s="245" t="s">
        <v>3818</v>
      </c>
      <c r="D189" s="223" t="s">
        <v>88</v>
      </c>
      <c r="E189" s="253" t="s">
        <v>3355</v>
      </c>
      <c r="F189" s="164" t="s">
        <v>3845</v>
      </c>
      <c r="G189" s="254" t="s">
        <v>3791</v>
      </c>
      <c r="H189" s="249" t="s">
        <v>3406</v>
      </c>
      <c r="I189" s="277" t="s">
        <v>3819</v>
      </c>
      <c r="J189" s="279"/>
      <c r="K189" s="335" t="str">
        <f>VLOOKUP(G189,[1]survey!$A:$D,3,FALSE)</f>
        <v>safety_security_risks_yes</v>
      </c>
      <c r="L189" s="331" t="s">
        <v>3820</v>
      </c>
    </row>
    <row r="190" spans="1:12" ht="190.5" customHeight="1">
      <c r="A190" s="367"/>
      <c r="B190" s="246" t="s">
        <v>3354</v>
      </c>
      <c r="C190" s="243" t="s">
        <v>3821</v>
      </c>
      <c r="D190" s="223" t="s">
        <v>88</v>
      </c>
      <c r="E190" s="217" t="s">
        <v>3355</v>
      </c>
      <c r="F190" s="164" t="str">
        <f t="shared" si="2"/>
        <v>water_facility_barriers</v>
      </c>
      <c r="G190" s="232" t="s">
        <v>3822</v>
      </c>
      <c r="H190" s="246" t="s">
        <v>3406</v>
      </c>
      <c r="I190" s="274" t="s">
        <v>3823</v>
      </c>
      <c r="J190" s="279"/>
      <c r="K190" s="335" t="str">
        <f>VLOOKUP(G190,[1]survey!$A:$D,3,FALSE)</f>
        <v>water_facility_barriers</v>
      </c>
    </row>
    <row r="191" spans="1:12" ht="75" customHeight="1">
      <c r="A191" s="302" t="s">
        <v>3772</v>
      </c>
      <c r="B191" s="246" t="s">
        <v>3354</v>
      </c>
      <c r="C191" s="243" t="s">
        <v>3824</v>
      </c>
      <c r="D191" s="223" t="s">
        <v>88</v>
      </c>
      <c r="E191" s="217" t="s">
        <v>3355</v>
      </c>
      <c r="F191" s="164" t="str">
        <f t="shared" si="2"/>
        <v>water_services_cultural_barriers</v>
      </c>
      <c r="G191" s="232" t="s">
        <v>3825</v>
      </c>
      <c r="H191" s="246" t="s">
        <v>3377</v>
      </c>
      <c r="I191" s="272" t="s">
        <v>3826</v>
      </c>
      <c r="J191" s="279"/>
      <c r="K191" s="335" t="str">
        <f>VLOOKUP(G191,[1]survey!$A:$D,3,FALSE)</f>
        <v>water_services_cultural_barriers</v>
      </c>
    </row>
    <row r="192" spans="1:12" ht="43.5" customHeight="1">
      <c r="A192" s="366" t="s">
        <v>3543</v>
      </c>
      <c r="B192" s="245" t="s">
        <v>3354</v>
      </c>
      <c r="C192" s="245" t="s">
        <v>3827</v>
      </c>
      <c r="D192" s="223" t="s">
        <v>88</v>
      </c>
      <c r="E192" s="244" t="s">
        <v>3355</v>
      </c>
      <c r="F192" s="164" t="str">
        <f t="shared" si="2"/>
        <v>water_services_info</v>
      </c>
      <c r="G192" s="255" t="s">
        <v>3828</v>
      </c>
      <c r="H192" s="249" t="s">
        <v>3377</v>
      </c>
      <c r="I192" s="273" t="s">
        <v>3631</v>
      </c>
      <c r="J192" s="279"/>
      <c r="K192" s="335" t="str">
        <f>VLOOKUP(G192,[1]survey!$A:$D,3,FALSE)</f>
        <v>water_services_info</v>
      </c>
    </row>
    <row r="193" spans="1:14" ht="121.5" customHeight="1">
      <c r="A193" s="371"/>
      <c r="B193" s="245" t="s">
        <v>3354</v>
      </c>
      <c r="C193" s="245" t="s">
        <v>3829</v>
      </c>
      <c r="D193" s="223" t="s">
        <v>88</v>
      </c>
      <c r="E193" s="244" t="s">
        <v>3355</v>
      </c>
      <c r="F193" s="164" t="s">
        <v>3849</v>
      </c>
      <c r="G193" s="232" t="s">
        <v>3783</v>
      </c>
      <c r="H193" s="245" t="s">
        <v>3406</v>
      </c>
      <c r="I193" s="272" t="s">
        <v>3830</v>
      </c>
      <c r="J193" s="279"/>
      <c r="K193" s="335" t="str">
        <f>VLOOKUP(G193,[1]survey!$A:$D,3,FALSE)</f>
        <v>aware_of_health_services_yes</v>
      </c>
      <c r="L193" s="331" t="s">
        <v>3831</v>
      </c>
    </row>
    <row r="194" spans="1:14" ht="123" customHeight="1">
      <c r="A194" s="367"/>
      <c r="B194" s="245" t="s">
        <v>3354</v>
      </c>
      <c r="C194" s="245" t="s">
        <v>3832</v>
      </c>
      <c r="D194" s="223" t="s">
        <v>88</v>
      </c>
      <c r="E194" s="244" t="s">
        <v>3355</v>
      </c>
      <c r="F194" s="164" t="s">
        <v>3850</v>
      </c>
      <c r="G194" s="232" t="s">
        <v>3786</v>
      </c>
      <c r="H194" s="243" t="s">
        <v>3406</v>
      </c>
      <c r="I194" s="274" t="s">
        <v>3833</v>
      </c>
      <c r="J194" s="320"/>
      <c r="K194" s="335" t="str">
        <f>VLOOKUP(G194,[1]survey!$A:$D,3,FALSE)</f>
        <v>aware_of_health_services_no</v>
      </c>
      <c r="L194" s="334"/>
      <c r="M194" s="228"/>
      <c r="N194" s="228"/>
    </row>
    <row r="195" spans="1:14" ht="67.5" customHeight="1">
      <c r="A195" s="366" t="s">
        <v>3587</v>
      </c>
      <c r="B195" s="246" t="s">
        <v>3354</v>
      </c>
      <c r="C195" s="243" t="s">
        <v>3834</v>
      </c>
      <c r="D195" s="223" t="s">
        <v>88</v>
      </c>
      <c r="E195" s="217" t="s">
        <v>3355</v>
      </c>
      <c r="F195" s="164" t="str">
        <f t="shared" si="2"/>
        <v>water_security_risks</v>
      </c>
      <c r="G195" s="248" t="s">
        <v>3835</v>
      </c>
      <c r="H195" s="252" t="s">
        <v>3377</v>
      </c>
      <c r="I195" s="274" t="s">
        <v>3631</v>
      </c>
      <c r="J195" s="279"/>
      <c r="K195" s="335" t="str">
        <f>VLOOKUP(G195,[1]survey!$A:$D,3,FALSE)</f>
        <v>water_security_risks</v>
      </c>
    </row>
    <row r="196" spans="1:14" ht="258.75" customHeight="1">
      <c r="A196" s="367"/>
      <c r="B196" s="246" t="s">
        <v>3354</v>
      </c>
      <c r="C196" s="243" t="s">
        <v>3836</v>
      </c>
      <c r="D196" s="223" t="s">
        <v>88</v>
      </c>
      <c r="E196" s="217" t="s">
        <v>3355</v>
      </c>
      <c r="F196" s="164" t="s">
        <v>3846</v>
      </c>
      <c r="G196" s="248" t="s">
        <v>3791</v>
      </c>
      <c r="H196" s="252" t="s">
        <v>3406</v>
      </c>
      <c r="I196" s="274" t="s">
        <v>3837</v>
      </c>
      <c r="J196" s="279"/>
      <c r="K196" s="335" t="str">
        <f>VLOOKUP(G196,[1]survey!$A:$D,3,FALSE)</f>
        <v>safety_security_risks_yes</v>
      </c>
      <c r="L196" s="331" t="s">
        <v>3838</v>
      </c>
    </row>
  </sheetData>
  <autoFilter ref="A1:J196" xr:uid="{DC6D777B-8388-4125-BA0B-9C57E1409C27}"/>
  <mergeCells count="32">
    <mergeCell ref="A24:J24"/>
    <mergeCell ref="A29:J29"/>
    <mergeCell ref="A149:J149"/>
    <mergeCell ref="A61:A64"/>
    <mergeCell ref="A68:J68"/>
    <mergeCell ref="A36:J36"/>
    <mergeCell ref="A50:A51"/>
    <mergeCell ref="A43:A45"/>
    <mergeCell ref="A47:A48"/>
    <mergeCell ref="A59:A60"/>
    <mergeCell ref="A56:A57"/>
    <mergeCell ref="A52:A55"/>
    <mergeCell ref="A65:A67"/>
    <mergeCell ref="A128:A134"/>
    <mergeCell ref="A135:A136"/>
    <mergeCell ref="A142:A144"/>
    <mergeCell ref="A70:A71"/>
    <mergeCell ref="A122:A123"/>
    <mergeCell ref="A156:A157"/>
    <mergeCell ref="A158:A160"/>
    <mergeCell ref="A192:A194"/>
    <mergeCell ref="A153:A154"/>
    <mergeCell ref="A138:A141"/>
    <mergeCell ref="A145:J145"/>
    <mergeCell ref="A170:J170"/>
    <mergeCell ref="A165:J165"/>
    <mergeCell ref="A161:A164"/>
    <mergeCell ref="A195:A196"/>
    <mergeCell ref="A185:A187"/>
    <mergeCell ref="A188:A190"/>
    <mergeCell ref="A175:A177"/>
    <mergeCell ref="A180:A182"/>
  </mergeCells>
  <phoneticPr fontId="2" type="noConversion"/>
  <conditionalFormatting sqref="F1:F1048576">
    <cfRule type="duplicateValues" dxfId="0" priority="1"/>
  </conditionalFormatting>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68fa2f7-5bc9-4d26-a705-46bbde7c6251">
      <Terms xmlns="http://schemas.microsoft.com/office/infopath/2007/PartnerControls"/>
    </lcf76f155ced4ddcb4097134ff3c332f>
    <TaxCatchAll xmlns="a9c1af38-b247-4961-91b4-be0537060b00" xsi:nil="true"/>
    <RecruitmentTORs xmlns="b68fa2f7-5bc9-4d26-a705-46bbde7c625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EF2D220D542F44BB9689C5DF61E112F" ma:contentTypeVersion="16" ma:contentTypeDescription="Create a new document." ma:contentTypeScope="" ma:versionID="0516478146880009a5e8c5391148da32">
  <xsd:schema xmlns:xsd="http://www.w3.org/2001/XMLSchema" xmlns:xs="http://www.w3.org/2001/XMLSchema" xmlns:p="http://schemas.microsoft.com/office/2006/metadata/properties" xmlns:ns2="b68fa2f7-5bc9-4d26-a705-46bbde7c6251" xmlns:ns3="a9c1af38-b247-4961-91b4-be0537060b00" targetNamespace="http://schemas.microsoft.com/office/2006/metadata/properties" ma:root="true" ma:fieldsID="dae248db9964ccda09416d771e0705e3" ns2:_="" ns3:_="">
    <xsd:import namespace="b68fa2f7-5bc9-4d26-a705-46bbde7c6251"/>
    <xsd:import namespace="a9c1af38-b247-4961-91b4-be0537060b0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Location" minOccurs="0"/>
                <xsd:element ref="ns2:MediaServiceSearchProperties" minOccurs="0"/>
                <xsd:element ref="ns2:RecruitmentTO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8fa2f7-5bc9-4d26-a705-46bbde7c62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RecruitmentTORs" ma:index="23" nillable="true" ma:displayName="Recruitment TORs " ma:format="Dropdown" ma:internalName="RecruitmentTOR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9c1af38-b247-4961-91b4-be0537060b0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712598d-cc8b-4869-bc93-88a93f44b92a}" ma:internalName="TaxCatchAll" ma:showField="CatchAllData" ma:web="a9c1af38-b247-4961-91b4-be0537060b0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FC4A9EF-B7CF-460E-843A-5ED0762BB695}">
  <ds:schemaRefs>
    <ds:schemaRef ds:uri="http://schemas.microsoft.com/office/2006/metadata/properties"/>
    <ds:schemaRef ds:uri="http://schemas.microsoft.com/office/infopath/2007/PartnerControls"/>
    <ds:schemaRef ds:uri="b68fa2f7-5bc9-4d26-a705-46bbde7c6251"/>
    <ds:schemaRef ds:uri="a9c1af38-b247-4961-91b4-be0537060b00"/>
  </ds:schemaRefs>
</ds:datastoreItem>
</file>

<file path=customXml/itemProps2.xml><?xml version="1.0" encoding="utf-8"?>
<ds:datastoreItem xmlns:ds="http://schemas.openxmlformats.org/officeDocument/2006/customXml" ds:itemID="{57BB6CBB-64A0-42ED-9242-F682D83F6BBC}">
  <ds:schemaRefs>
    <ds:schemaRef ds:uri="http://schemas.microsoft.com/sharepoint/v3/contenttype/forms"/>
  </ds:schemaRefs>
</ds:datastoreItem>
</file>

<file path=customXml/itemProps3.xml><?xml version="1.0" encoding="utf-8"?>
<ds:datastoreItem xmlns:ds="http://schemas.openxmlformats.org/officeDocument/2006/customXml" ds:itemID="{181A9D31-0551-4F5C-B8A2-DBE8B69D36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8fa2f7-5bc9-4d26-a705-46bbde7c6251"/>
    <ds:schemaRef ds:uri="a9c1af38-b247-4961-91b4-be0537060b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04 - Needs and Demand</vt:lpstr>
      <vt:lpstr>03 - Supply and Offer</vt:lpstr>
      <vt:lpstr>01 - Contextual and Inst.</vt:lpstr>
      <vt:lpstr>JIPS DS IL</vt:lpstr>
      <vt:lpstr>Service capabilities ABA HH DAP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luca.girardi</dc:creator>
  <cp:keywords/>
  <dc:description/>
  <cp:lastModifiedBy>Carlos TAPONJOU</cp:lastModifiedBy>
  <cp:revision/>
  <dcterms:created xsi:type="dcterms:W3CDTF">2023-01-11T09:10:51Z</dcterms:created>
  <dcterms:modified xsi:type="dcterms:W3CDTF">2024-06-17T09:46:05Z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0x0101009EF2D220D542F44BB9689C5DF61E112F</vt:lpwstr>
  </property>
  <property fmtid="{D5CDD505-2E9C-101B-9397-08002B2CF9AE}" pid="3" name="MediaServiceImageTags">
    <vt:lpwstr/>
  </property>
</Properties>
</file>